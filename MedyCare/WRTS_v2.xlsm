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.xml" ContentType="application/vnd.openxmlformats-officedocument.drawing+xml"/>
  <Override PartName="/xl/ctrlProps/ctrlProp5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ocuments/GitHub/Logistica1819/MedyCare/"/>
    </mc:Choice>
  </mc:AlternateContent>
  <xr:revisionPtr revIDLastSave="0" documentId="13_ncr:1_{0E5D56B3-5FA2-CB4E-B140-A770046D52F9}" xr6:coauthVersionLast="40" xr6:coauthVersionMax="40" xr10:uidLastSave="{00000000-0000-0000-0000-000000000000}"/>
  <bookViews>
    <workbookView xWindow="0" yWindow="460" windowWidth="25600" windowHeight="12880" activeTab="1" xr2:uid="{00000000-000D-0000-FFFF-FFFF00000000}"/>
  </bookViews>
  <sheets>
    <sheet name="parameters" sheetId="7" r:id="rId1"/>
    <sheet name="warehouse" sheetId="2" r:id="rId2"/>
    <sheet name="report - forklifts" sheetId="3" r:id="rId3"/>
    <sheet name="report - orders" sheetId="4" r:id="rId4"/>
    <sheet name="dataset" sheetId="8" r:id="rId5"/>
    <sheet name="modifications" sheetId="9" r:id="rId6"/>
    <sheet name="history" sheetId="5" r:id="rId7"/>
  </sheets>
  <calcPr calcId="191029"/>
</workbook>
</file>

<file path=xl/calcChain.xml><?xml version="1.0" encoding="utf-8"?>
<calcChain xmlns="http://schemas.openxmlformats.org/spreadsheetml/2006/main">
  <c r="K4" i="7" l="1"/>
  <c r="F32" i="7"/>
  <c r="B1" i="9"/>
  <c r="D58" i="7"/>
  <c r="F8" i="7"/>
  <c r="A1" i="9" s="1"/>
  <c r="F16" i="7"/>
  <c r="J54" i="7"/>
  <c r="J52" i="7"/>
  <c r="J50" i="7"/>
  <c r="J48" i="7"/>
  <c r="J46" i="7"/>
  <c r="J44" i="7"/>
  <c r="D54" i="7"/>
  <c r="D52" i="7"/>
  <c r="D50" i="7"/>
  <c r="D48" i="7"/>
  <c r="D46" i="7"/>
  <c r="D44" i="7"/>
  <c r="J58" i="7" l="1"/>
  <c r="F71" i="7"/>
  <c r="J42" i="7"/>
  <c r="D42" i="7"/>
  <c r="J40" i="7"/>
  <c r="F4" i="7"/>
  <c r="K36" i="7"/>
  <c r="G54" i="7" s="1"/>
  <c r="F36" i="7"/>
  <c r="D40" i="7" s="1"/>
  <c r="F38" i="7"/>
  <c r="F22" i="7"/>
  <c r="F30" i="7"/>
  <c r="F28" i="7"/>
  <c r="F26" i="7"/>
  <c r="F24" i="7"/>
  <c r="F20" i="7"/>
  <c r="F18" i="7"/>
  <c r="D60" i="7" l="1"/>
  <c r="J60" i="7" s="1"/>
  <c r="G52" i="7"/>
  <c r="G50" i="7"/>
  <c r="G48" i="7"/>
  <c r="G46" i="7"/>
  <c r="G44" i="7"/>
  <c r="G40" i="7"/>
  <c r="N42" i="7" s="1"/>
  <c r="G42" i="7"/>
  <c r="D62" i="7" l="1"/>
  <c r="N44" i="7"/>
  <c r="N46" i="7" s="1"/>
  <c r="N48" i="7" s="1"/>
  <c r="N50" i="7" s="1"/>
  <c r="N52" i="7" s="1"/>
  <c r="N54" i="7" s="1"/>
  <c r="J62" i="7" l="1"/>
  <c r="D64" i="7" s="1"/>
  <c r="J64" i="7" l="1"/>
  <c r="D66" i="7" s="1"/>
  <c r="J66" i="7" s="1"/>
</calcChain>
</file>

<file path=xl/sharedStrings.xml><?xml version="1.0" encoding="utf-8"?>
<sst xmlns="http://schemas.openxmlformats.org/spreadsheetml/2006/main" count="162" uniqueCount="133">
  <si>
    <t>ver. 0.04</t>
  </si>
  <si>
    <t xml:space="preserve"> - raport - wózki: poprawiono procedurę liczenia łącznego czasu oczekiwania na zamówienia,</t>
  </si>
  <si>
    <t xml:space="preserve"> - usunięto możliwość (do tej pory bardzo rzadko występującą) pobierania w tym samym czasie towarów z tej samej (lub naprzeciwległej) półki w regale przez dwa wózki widłowe,</t>
  </si>
  <si>
    <t xml:space="preserve"> - poprawiono procedurę wyznaczania kolejności pobierania towarów dla strategii Midpoint. Do tej pory ostatnie towary z górnej części magazynu (jeśli nie znajdowały się w pierwszym pionowym korytarzu) mogły być pobierane w złej kolejności.</t>
  </si>
  <si>
    <t>ver. 0.02</t>
  </si>
  <si>
    <t>ver. 0.03</t>
  </si>
  <si>
    <t xml:space="preserve"> - blokada podglądu makra przez użytkownika.</t>
  </si>
  <si>
    <t xml:space="preserve"> - dodano czerwoną linię separującą w raportach,</t>
  </si>
  <si>
    <t>Program "magazyn - kompletacja"</t>
  </si>
  <si>
    <t xml:space="preserve"> - dodano arkusz informacje.</t>
  </si>
  <si>
    <t xml:space="preserve"> - zmodyfikowano arkusz parametry,</t>
  </si>
  <si>
    <t>ver. 0.05</t>
  </si>
  <si>
    <t xml:space="preserve"> - wprowadzono trzy poziomy (piętra) regałów, z których pobierane są towary</t>
  </si>
  <si>
    <t>ver. 0.06</t>
  </si>
  <si>
    <t xml:space="preserve"> - wprowadzono mnożniki popytu na wyroby z poszczególnych regałów i pięter (spowodowało to konieczność gruntownego zmodyfikowania funkcji losującej pozycje na zamówieniach)</t>
  </si>
  <si>
    <t>ver. 0.07</t>
  </si>
  <si>
    <t xml:space="preserve"> - dodano możliwość wprowadzenia etykiet wyrobów</t>
  </si>
  <si>
    <t xml:space="preserve"> - dodano możliwość zmiany koloru tła regałów oznaczonych etykietami</t>
  </si>
  <si>
    <t>ver. 0.08</t>
  </si>
  <si>
    <t xml:space="preserve"> - czasy wykonywania czynności przez wózek (w sekundach) nie muszą być całkowite</t>
  </si>
  <si>
    <t>ver. 0.09</t>
  </si>
  <si>
    <t xml:space="preserve"> - dodano parametr: czas zawrócenia wózka po pobraniu towaru i zmodyfikowano funkcję liczącą czasy jazdy wózków. Zmiany wprowadzono również do arkusza "raport - wózki"</t>
  </si>
  <si>
    <t>ver. 0.10</t>
  </si>
  <si>
    <t xml:space="preserve"> - dodano strategie: Largest Gap i Combined</t>
  </si>
  <si>
    <t>ver. 11</t>
  </si>
  <si>
    <t xml:space="preserve"> - dodano strategię Optimal</t>
  </si>
  <si>
    <t>ver. 12</t>
  </si>
  <si>
    <t xml:space="preserve"> - wprowadzono możliwość pobierania towarów z 20 poziomów (magazyny wysokiego składowania)</t>
  </si>
  <si>
    <t xml:space="preserve"> - dodano możliwość wyłączenia animacji (przyspiesza obliczenia około 7-krotnie)</t>
  </si>
  <si>
    <t>ver. 13</t>
  </si>
  <si>
    <t xml:space="preserve"> - poprawiono błędy poruszania się wózków dla MWS (strategie LG i Optimal)</t>
  </si>
  <si>
    <t>ver. 14</t>
  </si>
  <si>
    <t xml:space="preserve"> - poprawiono błąd poruszania się wózków w ostatnim bocznym korytarzu dla startegii Midpoint (błąd występował, gdy we wszystkich - oprócz ostatniego - korytarzach towary pobierane były tylko z dolnej części magazynu)</t>
  </si>
  <si>
    <t>ver. 15</t>
  </si>
  <si>
    <t xml:space="preserve"> - dodano arkusz 'Zamówienia' i możliwość generowania zamówień z listy znajdującej się w tym arkuszu</t>
  </si>
  <si>
    <t>ver. 16</t>
  </si>
  <si>
    <t xml:space="preserve"> - poprawiono sposób poruszania się wózka dla metody optymalnej</t>
  </si>
  <si>
    <t xml:space="preserve"> - zamieniono napisy "Strategia" na "Metoda"</t>
  </si>
  <si>
    <t xml:space="preserve"> - dodano możliwość przeprowadzenia jednej symulacji dla wszystkich metod poruszania się wózków</t>
  </si>
  <si>
    <t>ver. 17</t>
  </si>
  <si>
    <t xml:space="preserve"> - poprawiono sposób wyznaczania trasy wózka dla metody optymalnej (błąd był, gdy wszystkie towary znajdowały się w pierwszym korytarzu)</t>
  </si>
  <si>
    <t xml:space="preserve"> - zróżnicowano czas przejazdu wózka przez jedno pole w pionie i poziomie i dodano pole: "Wózek: czas przejazdu 1/3 pola w poziomie"</t>
  </si>
  <si>
    <t>ver. 18</t>
  </si>
  <si>
    <t>Number of racks:</t>
  </si>
  <si>
    <t>Number of slots in a rack:</t>
  </si>
  <si>
    <t>Animation:</t>
  </si>
  <si>
    <t>WAREHOUSE REAL-TIME SIMULATOR</t>
  </si>
  <si>
    <t>Number of forklifts:</t>
  </si>
  <si>
    <t>Number of items on pick list:</t>
  </si>
  <si>
    <t>Orders appearance:</t>
  </si>
  <si>
    <t>to:</t>
  </si>
  <si>
    <t>Working hours from:</t>
  </si>
  <si>
    <t>Animation speed:</t>
  </si>
  <si>
    <t>Average time      between two orders:</t>
  </si>
  <si>
    <t>Time period 1 from:</t>
  </si>
  <si>
    <t>Time period 2 from:</t>
  </si>
  <si>
    <t>Time period 3 from:</t>
  </si>
  <si>
    <t>Time period 4 from:</t>
  </si>
  <si>
    <t>Time period 5 from:</t>
  </si>
  <si>
    <t>Time period 6 from:</t>
  </si>
  <si>
    <t>Time period 7 from:</t>
  </si>
  <si>
    <t>Time period 8 from:</t>
  </si>
  <si>
    <t>Number of replications (working days):</t>
  </si>
  <si>
    <t>Random seed:</t>
  </si>
  <si>
    <t>Number of storage levels:</t>
  </si>
  <si>
    <t>Pick probability level 1:</t>
  </si>
  <si>
    <t>Pick probability level 3:</t>
  </si>
  <si>
    <t>Pick probability level 5:</t>
  </si>
  <si>
    <t>Pick probability level 7:</t>
  </si>
  <si>
    <t>Pick probability level 9:</t>
  </si>
  <si>
    <t>Pick probability level 10:</t>
  </si>
  <si>
    <t>Pick probability level  8:</t>
  </si>
  <si>
    <t>Pick probability level  6:</t>
  </si>
  <si>
    <t>Pick probability level  4:</t>
  </si>
  <si>
    <t>Pick probability level  2:</t>
  </si>
  <si>
    <t>Blocking time</t>
  </si>
  <si>
    <t>Slot number / storage level number</t>
  </si>
  <si>
    <t>Forklift number</t>
  </si>
  <si>
    <t>Day</t>
  </si>
  <si>
    <t>Pick list number</t>
  </si>
  <si>
    <t>Order arrival time</t>
  </si>
  <si>
    <t>Order picking start time</t>
  </si>
  <si>
    <t>Order picking end time</t>
  </si>
  <si>
    <r>
      <t xml:space="preserve">Number of fields </t>
    </r>
    <r>
      <rPr>
        <b/>
        <sz val="11"/>
        <rFont val="Arial"/>
        <family val="2"/>
        <charset val="238"/>
      </rPr>
      <t>a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</si>
  <si>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b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</si>
  <si>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c</t>
    </r>
    <r>
      <rPr>
        <b/>
        <sz val="10"/>
        <rFont val="Arial"/>
        <family val="2"/>
        <charset val="238"/>
      </rPr>
      <t xml:space="preserve"> driven</t>
    </r>
  </si>
  <si>
    <t>Number of turns back</t>
  </si>
  <si>
    <t>Routing method</t>
  </si>
  <si>
    <t>Number of slots in a rack</t>
  </si>
  <si>
    <t>Number of storage levels</t>
  </si>
  <si>
    <t>Total number of forklifts</t>
  </si>
  <si>
    <t>Random seed</t>
  </si>
  <si>
    <t>Number of racks</t>
  </si>
  <si>
    <t>Working time</t>
  </si>
  <si>
    <t>Idle time</t>
  </si>
  <si>
    <t>Replications (days)</t>
  </si>
  <si>
    <t>Pick lists</t>
  </si>
  <si>
    <t>Number of pick lists completed</t>
  </si>
  <si>
    <t>Number of items picked from level 1</t>
  </si>
  <si>
    <t>Number of items picked from level 2</t>
  </si>
  <si>
    <t>Number of items picked from level 3</t>
  </si>
  <si>
    <t>Number of items picked from level 4</t>
  </si>
  <si>
    <t>Number of items picked from level 5</t>
  </si>
  <si>
    <t>Number of items picked from level 6</t>
  </si>
  <si>
    <t>Number of items picked from level 7</t>
  </si>
  <si>
    <t>Number of items picked from level 8</t>
  </si>
  <si>
    <t>Number of items picked from level 9</t>
  </si>
  <si>
    <t>Number of items picked from level 10</t>
  </si>
  <si>
    <t xml:space="preserve"> - english version!</t>
  </si>
  <si>
    <t xml:space="preserve"> - new entry form with sliders (parameters spreadsheet)</t>
  </si>
  <si>
    <t xml:space="preserve"> - refreshing screen every half a second (earlier every second)</t>
  </si>
  <si>
    <t xml:space="preserve"> - Midpoint and Largers Gap heuristics: improved picking items in the last aisle</t>
  </si>
  <si>
    <t xml:space="preserve"> - modified report spreadsheets</t>
  </si>
  <si>
    <t>ver. 19</t>
  </si>
  <si>
    <t>ver. 20</t>
  </si>
  <si>
    <t xml:space="preserve"> - new 'Optimal - time' routing method</t>
  </si>
  <si>
    <t xml:space="preserve"> - Midpoint and Largest Gap heuristics: corrected once more</t>
  </si>
  <si>
    <t>ver. 21</t>
  </si>
  <si>
    <t xml:space="preserve"> - changed method of counting some time statistics</t>
  </si>
  <si>
    <t xml:space="preserve">Forklift movement time: 1 field horizontally (a) (in seconds): </t>
  </si>
  <si>
    <t xml:space="preserve">Forklift movement time: 1 field vertically (b) (in seconds): </t>
  </si>
  <si>
    <t xml:space="preserve">Forklift movement time: 1 field horizontally (c) (in seconds): </t>
  </si>
  <si>
    <t xml:space="preserve">Forklift movement time: turn aside (in seconds): </t>
  </si>
  <si>
    <t xml:space="preserve">Forklift movement time: turn back (in seconds): </t>
  </si>
  <si>
    <t xml:space="preserve">Forklift movement time: pick item (in seconds): </t>
  </si>
  <si>
    <t xml:space="preserve">Forklift movement time: unload (in seconds): </t>
  </si>
  <si>
    <t xml:space="preserve">Forklift movement time: lift 1 level up + down (in seconds): </t>
  </si>
  <si>
    <t>Multiplier &lt;0, 100&gt;</t>
  </si>
  <si>
    <t>ver. 22</t>
  </si>
  <si>
    <t xml:space="preserve"> - modified 'turns back' statistics</t>
  </si>
  <si>
    <t>Number of turns aside</t>
  </si>
  <si>
    <t>S-shape policy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</si>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</sst>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"/>
    <numFmt numFmtId="165" formatCode="&quot;Day &quot;0"/>
    <numFmt numFmtId="166" formatCode="&quot;h. &quot;h:mm:ss"/>
  </numFmts>
  <fonts count="21">
    <font>
      <sz val="10"/>
      <name val="Arial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theme="0"/>
      <name val="Arial"/>
      <family val="2"/>
      <charset val="238"/>
    </font>
    <font>
      <sz val="24"/>
      <name val="Arial"/>
      <family val="2"/>
      <charset val="238"/>
    </font>
    <font>
      <b/>
      <sz val="11"/>
      <name val="Arial"/>
      <family val="2"/>
      <charset val="238"/>
    </font>
    <font>
      <sz val="9"/>
      <name val="Arial"/>
      <family val="2"/>
      <charset val="238"/>
    </font>
    <font>
      <sz val="11"/>
      <color theme="0"/>
      <name val="Arial"/>
      <family val="2"/>
      <charset val="238"/>
    </font>
    <font>
      <sz val="10"/>
      <name val="Arial"/>
      <family val="2"/>
    </font>
    <font>
      <sz val="8"/>
      <color rgb="FF000000"/>
      <name val="Tahoma"/>
      <family val="2"/>
    </font>
    <font>
      <sz val="16"/>
      <color rgb="FF000000"/>
      <name val="Arial"/>
      <family val="2"/>
    </font>
    <font>
      <b/>
      <sz val="14"/>
      <color rgb="FFFF0000"/>
      <name val="Arial"/>
      <family val="2"/>
    </font>
    <font>
      <sz val="10"/>
      <color theme="0"/>
      <name val="Arial"/>
      <family val="2"/>
    </font>
    <font>
      <b/>
      <sz val="16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E9C2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rgb="FF166FA6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A"/>
        <bgColor indexed="64"/>
      </patternFill>
    </fill>
    <fill>
      <patternFill patternType="solid">
        <fgColor rgb="FF7979FF"/>
        <bgColor indexed="64"/>
      </patternFill>
    </fill>
    <fill>
      <patternFill patternType="solid">
        <fgColor rgb="FF51A2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763B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9592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ck">
        <color rgb="FFC00000"/>
      </top>
      <bottom/>
      <diagonal/>
    </border>
    <border>
      <left style="thin">
        <color indexed="64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</borders>
  <cellStyleXfs count="1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122">
    <xf numFmtId="0" fontId="0" fillId="0" borderId="0" xfId="0"/>
    <xf numFmtId="0" fontId="8" fillId="0" borderId="0" xfId="0" applyFont="1"/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  <xf numFmtId="14" fontId="0" fillId="0" borderId="0" xfId="0" applyNumberFormat="1"/>
    <xf numFmtId="0" fontId="9" fillId="0" borderId="0" xfId="0" applyFont="1"/>
    <xf numFmtId="0" fontId="12" fillId="5" borderId="0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8" fillId="4" borderId="0" xfId="0" applyFont="1" applyFill="1" applyBorder="1" applyAlignment="1" applyProtection="1">
      <alignment horizontal="righ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Protection="1">
      <protection locked="0"/>
    </xf>
    <xf numFmtId="0" fontId="10" fillId="4" borderId="0" xfId="0" applyFont="1" applyFill="1" applyBorder="1" applyProtection="1">
      <protection locked="0"/>
    </xf>
    <xf numFmtId="10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9" fillId="7" borderId="24" xfId="0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horizontal="center" vertical="center" wrapText="1"/>
      <protection hidden="1"/>
    </xf>
    <xf numFmtId="0" fontId="0" fillId="0" borderId="24" xfId="0" applyBorder="1" applyProtection="1"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Protection="1">
      <protection locked="0"/>
    </xf>
    <xf numFmtId="0" fontId="10" fillId="4" borderId="2" xfId="0" applyFont="1" applyFill="1" applyBorder="1" applyProtection="1">
      <protection locked="0"/>
    </xf>
    <xf numFmtId="0" fontId="10" fillId="4" borderId="2" xfId="0" applyFont="1" applyFill="1" applyBorder="1" applyAlignment="1" applyProtection="1">
      <alignment horizontal="right"/>
      <protection locked="0"/>
    </xf>
    <xf numFmtId="0" fontId="10" fillId="4" borderId="3" xfId="0" applyFont="1" applyFill="1" applyBorder="1" applyProtection="1">
      <protection locked="0"/>
    </xf>
    <xf numFmtId="0" fontId="10" fillId="4" borderId="4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/>
      <protection locked="0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right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0" fillId="4" borderId="3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0" fontId="10" fillId="4" borderId="6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right" vertical="center"/>
      <protection locked="0"/>
    </xf>
    <xf numFmtId="0" fontId="10" fillId="4" borderId="8" xfId="0" applyFont="1" applyFill="1" applyBorder="1" applyAlignment="1" applyProtection="1">
      <alignment horizontal="center" vertical="center"/>
      <protection locked="0"/>
    </xf>
    <xf numFmtId="10" fontId="10" fillId="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25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0" fontId="9" fillId="7" borderId="25" xfId="0" applyNumberFormat="1" applyFont="1" applyFill="1" applyBorder="1" applyAlignment="1">
      <alignment horizontal="center" wrapText="1"/>
    </xf>
    <xf numFmtId="164" fontId="9" fillId="7" borderId="25" xfId="0" applyNumberFormat="1" applyFont="1" applyFill="1" applyBorder="1" applyAlignment="1">
      <alignment horizontal="center" wrapText="1"/>
    </xf>
    <xf numFmtId="0" fontId="9" fillId="7" borderId="25" xfId="0" applyFont="1" applyFill="1" applyBorder="1" applyAlignment="1">
      <alignment horizontal="center" wrapText="1"/>
    </xf>
    <xf numFmtId="165" fontId="9" fillId="7" borderId="25" xfId="0" applyNumberFormat="1" applyFont="1" applyFill="1" applyBorder="1" applyAlignment="1">
      <alignment horizontal="center" wrapText="1"/>
    </xf>
    <xf numFmtId="0" fontId="0" fillId="0" borderId="27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0" xfId="0" applyNumberFormat="1" applyAlignment="1" applyProtection="1">
      <alignment horizontal="center"/>
      <protection locked="0"/>
    </xf>
    <xf numFmtId="0" fontId="0" fillId="0" borderId="25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165" fontId="9" fillId="7" borderId="0" xfId="0" applyNumberFormat="1" applyFont="1" applyFill="1" applyAlignment="1" applyProtection="1">
      <alignment horizontal="center" wrapText="1"/>
    </xf>
    <xf numFmtId="0" fontId="9" fillId="7" borderId="25" xfId="0" applyNumberFormat="1" applyFont="1" applyFill="1" applyBorder="1" applyAlignment="1" applyProtection="1">
      <alignment horizontal="center" wrapText="1"/>
    </xf>
    <xf numFmtId="166" fontId="9" fillId="7" borderId="25" xfId="0" applyNumberFormat="1" applyFont="1" applyFill="1" applyBorder="1" applyAlignment="1" applyProtection="1">
      <alignment horizontal="center" wrapText="1"/>
    </xf>
    <xf numFmtId="164" fontId="9" fillId="7" borderId="25" xfId="0" applyNumberFormat="1" applyFont="1" applyFill="1" applyBorder="1" applyAlignment="1" applyProtection="1">
      <alignment horizontal="center" wrapText="1"/>
    </xf>
    <xf numFmtId="0" fontId="9" fillId="7" borderId="25" xfId="0" applyFont="1" applyFill="1" applyBorder="1" applyAlignment="1" applyProtection="1">
      <alignment horizontal="center" wrapText="1"/>
    </xf>
    <xf numFmtId="0" fontId="0" fillId="0" borderId="26" xfId="0" applyBorder="1" applyAlignment="1">
      <alignment horizontal="center"/>
    </xf>
    <xf numFmtId="0" fontId="9" fillId="7" borderId="25" xfId="0" applyFont="1" applyFill="1" applyBorder="1" applyAlignment="1" applyProtection="1">
      <alignment horizontal="center" wrapText="1"/>
    </xf>
    <xf numFmtId="0" fontId="19" fillId="3" borderId="0" xfId="0" applyFont="1" applyFill="1"/>
    <xf numFmtId="0" fontId="0" fillId="8" borderId="19" xfId="0" applyFill="1" applyBorder="1"/>
    <xf numFmtId="0" fontId="0" fillId="8" borderId="22" xfId="0" applyFill="1" applyBorder="1"/>
    <xf numFmtId="0" fontId="0" fillId="8" borderId="23" xfId="0" applyFill="1" applyBorder="1"/>
    <xf numFmtId="0" fontId="0" fillId="9" borderId="0" xfId="0" applyFill="1" applyBorder="1"/>
    <xf numFmtId="165" fontId="0" fillId="0" borderId="28" xfId="0" applyNumberFormat="1" applyBorder="1" applyAlignment="1" applyProtection="1">
      <alignment horizontal="center"/>
      <protection locked="0"/>
    </xf>
    <xf numFmtId="0" fontId="0" fillId="0" borderId="27" xfId="0" applyNumberFormat="1" applyBorder="1" applyAlignment="1" applyProtection="1">
      <alignment horizontal="center"/>
      <protection locked="0"/>
    </xf>
    <xf numFmtId="166" fontId="0" fillId="0" borderId="27" xfId="0" applyNumberFormat="1" applyBorder="1" applyAlignment="1" applyProtection="1">
      <alignment horizontal="center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14" borderId="0" xfId="0" applyFill="1" applyBorder="1"/>
    <xf numFmtId="0" fontId="0" fillId="15" borderId="0" xfId="0" applyFill="1" applyBorder="1"/>
    <xf numFmtId="0" fontId="13" fillId="4" borderId="0" xfId="0" applyFont="1" applyFill="1" applyAlignment="1">
      <alignment horizontal="center" vertical="center" wrapText="1"/>
    </xf>
    <xf numFmtId="0" fontId="11" fillId="6" borderId="7" xfId="0" applyFont="1" applyFill="1" applyBorder="1" applyAlignment="1" applyProtection="1">
      <alignment horizontal="center"/>
      <protection locked="0"/>
    </xf>
    <xf numFmtId="0" fontId="15" fillId="11" borderId="11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12" borderId="11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right" vertical="top" wrapText="1"/>
    </xf>
    <xf numFmtId="0" fontId="15" fillId="10" borderId="11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10" borderId="15" xfId="0" applyFont="1" applyFill="1" applyBorder="1" applyAlignment="1">
      <alignment horizontal="center" vertical="center" wrapText="1"/>
    </xf>
    <xf numFmtId="0" fontId="15" fillId="12" borderId="15" xfId="0" applyFont="1" applyFill="1" applyBorder="1" applyAlignment="1">
      <alignment horizontal="center" vertical="center" wrapText="1"/>
    </xf>
    <xf numFmtId="0" fontId="15" fillId="13" borderId="15" xfId="0" applyFont="1" applyFill="1" applyBorder="1" applyAlignment="1">
      <alignment horizontal="center" vertical="center" wrapText="1"/>
    </xf>
    <xf numFmtId="0" fontId="15" fillId="11" borderId="15" xfId="0" applyFont="1" applyFill="1" applyBorder="1" applyAlignment="1">
      <alignment horizontal="center" vertical="center" wrapText="1"/>
    </xf>
    <xf numFmtId="2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0" fillId="3" borderId="0" xfId="0" applyFont="1" applyFill="1" applyAlignment="1">
      <alignment horizontal="center"/>
    </xf>
    <xf numFmtId="0" fontId="15" fillId="2" borderId="17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horizontal="center" vertical="center" wrapText="1"/>
    </xf>
    <xf numFmtId="0" fontId="15" fillId="12" borderId="17" xfId="0" applyFont="1" applyFill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9" fillId="7" borderId="25" xfId="0" applyFont="1" applyFill="1" applyBorder="1" applyAlignment="1" applyProtection="1">
      <alignment horizontal="center" wrapText="1"/>
    </xf>
  </cellXfs>
  <cellStyles count="18">
    <cellStyle name="Normal" xfId="0" builtinId="0"/>
    <cellStyle name="Normalny 2" xfId="1" xr:uid="{00000000-0005-0000-0000-000001000000}"/>
    <cellStyle name="Normalny 2 2" xfId="5" xr:uid="{00000000-0005-0000-0000-000002000000}"/>
    <cellStyle name="Normalny 2 2 2" xfId="6" xr:uid="{00000000-0005-0000-0000-000003000000}"/>
    <cellStyle name="Normalny 2 2 2 2" xfId="14" xr:uid="{00000000-0005-0000-0000-000004000000}"/>
    <cellStyle name="Normalny 2 2 2 2 2" xfId="15" xr:uid="{00000000-0005-0000-0000-000005000000}"/>
    <cellStyle name="Normalny 2 2 3" xfId="10" xr:uid="{00000000-0005-0000-0000-000006000000}"/>
    <cellStyle name="Normalny 2 3" xfId="9" xr:uid="{00000000-0005-0000-0000-000007000000}"/>
    <cellStyle name="Normalny 3" xfId="2" xr:uid="{00000000-0005-0000-0000-000008000000}"/>
    <cellStyle name="Normalny 3 2" xfId="11" xr:uid="{00000000-0005-0000-0000-000009000000}"/>
    <cellStyle name="Normalny 4" xfId="3" xr:uid="{00000000-0005-0000-0000-00000A000000}"/>
    <cellStyle name="Normalny 4 2" xfId="12" xr:uid="{00000000-0005-0000-0000-00000B000000}"/>
    <cellStyle name="Normalny 5" xfId="4" xr:uid="{00000000-0005-0000-0000-00000C000000}"/>
    <cellStyle name="Normalny 5 2" xfId="13" xr:uid="{00000000-0005-0000-0000-00000D000000}"/>
    <cellStyle name="Normalny 6" xfId="7" xr:uid="{00000000-0005-0000-0000-00000E000000}"/>
    <cellStyle name="Normalny 6 2" xfId="16" xr:uid="{00000000-0005-0000-0000-00000F000000}"/>
    <cellStyle name="Normalny 7" xfId="8" xr:uid="{00000000-0005-0000-0000-000010000000}"/>
    <cellStyle name="Normalny 7 2" xfId="17" xr:uid="{00000000-0005-0000-0000-000011000000}"/>
  </cellStyles>
  <dxfs count="318"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</dxfs>
  <tableStyles count="0" defaultTableStyle="TableStyleMedium9" defaultPivotStyle="PivotStyleLight16"/>
  <colors>
    <mruColors>
      <color rgb="FF166FA6"/>
      <color rgb="FFDC3D22"/>
      <color rgb="FFEC9384"/>
      <color rgb="FFB84542"/>
      <color rgb="FFC6605E"/>
      <color rgb="FFD48A88"/>
      <color rgb="FF960000"/>
      <color rgb="FF740000"/>
      <color rgb="FFA20000"/>
      <color rgb="FF51A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6" fmlaLink="$P$10" horiz="1" max="26" min="3" page="10" val="7"/>
</file>

<file path=xl/ctrlProps/ctrlProp2.xml><?xml version="1.0" encoding="utf-8"?>
<formControlPr xmlns="http://schemas.microsoft.com/office/spreadsheetml/2009/9/main" objectType="Scroll" dx="16" fmlaLink="$F$10" horiz="1" max="100" min="5" page="10" val="10"/>
</file>

<file path=xl/ctrlProps/ctrlProp3.xml><?xml version="1.0" encoding="utf-8"?>
<formControlPr xmlns="http://schemas.microsoft.com/office/spreadsheetml/2009/9/main" objectType="Scroll" dx="16" fmlaLink="$G$6" horiz="1" max="2" min="1" page="10" val="2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firstButton="1" fmlaLink="$P$8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Scroll" dx="16" fmlaLink="$F$14" horiz="1" max="10" min="1" page="10" val="3"/>
</file>

<file path=xl/ctrlProps/ctrlProp12.xml><?xml version="1.0" encoding="utf-8"?>
<formControlPr xmlns="http://schemas.microsoft.com/office/spreadsheetml/2009/9/main" objectType="Scroll" dx="16" fmlaLink="$P$16" horiz="1" max="20" page="10" val="12"/>
</file>

<file path=xl/ctrlProps/ctrlProp13.xml><?xml version="1.0" encoding="utf-8"?>
<formControlPr xmlns="http://schemas.microsoft.com/office/spreadsheetml/2009/9/main" objectType="Scroll" dx="16" fmlaLink="$P$18" horiz="1" max="500" min="50" page="10" val="52"/>
</file>

<file path=xl/ctrlProps/ctrlProp14.xml><?xml version="1.0" encoding="utf-8"?>
<formControlPr xmlns="http://schemas.microsoft.com/office/spreadsheetml/2009/9/main" objectType="Scroll" dx="16" fmlaLink="$P$20" horiz="1" max="500" min="50" page="10" val="132"/>
</file>

<file path=xl/ctrlProps/ctrlProp15.xml><?xml version="1.0" encoding="utf-8"?>
<formControlPr xmlns="http://schemas.microsoft.com/office/spreadsheetml/2009/9/main" objectType="Scroll" dx="16" fmlaLink="$P$24" horiz="1" max="1000" page="10" val="330"/>
</file>

<file path=xl/ctrlProps/ctrlProp16.xml><?xml version="1.0" encoding="utf-8"?>
<formControlPr xmlns="http://schemas.microsoft.com/office/spreadsheetml/2009/9/main" objectType="Scroll" dx="16" fmlaLink="$P$26" horiz="1" max="3000" page="10" val="570"/>
</file>

<file path=xl/ctrlProps/ctrlProp17.xml><?xml version="1.0" encoding="utf-8"?>
<formControlPr xmlns="http://schemas.microsoft.com/office/spreadsheetml/2009/9/main" objectType="Scroll" dx="16" fmlaLink="$P$28" horiz="1" max="2000" min="10" page="10" val="1436"/>
</file>

<file path=xl/ctrlProps/ctrlProp18.xml><?xml version="1.0" encoding="utf-8"?>
<formControlPr xmlns="http://schemas.microsoft.com/office/spreadsheetml/2009/9/main" objectType="Scroll" dx="16" fmlaLink="$P$30" horiz="1" max="12000" min="100" page="10" val="5416"/>
</file>

<file path=xl/ctrlProps/ctrlProp19.xml><?xml version="1.0" encoding="utf-8"?>
<formControlPr xmlns="http://schemas.microsoft.com/office/spreadsheetml/2009/9/main" objectType="Scroll" dx="16" fmlaLink="$P$32" horiz="1" max="10000" min="1" page="10" val="200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Scroll" dx="16" fmlaLink="$P$22" horiz="1" max="500" min="50" page="10" val="120"/>
</file>

<file path=xl/ctrlProps/ctrlProp22.xml><?xml version="1.0" encoding="utf-8"?>
<formControlPr xmlns="http://schemas.microsoft.com/office/spreadsheetml/2009/9/main" objectType="Scroll" dx="16" fmlaLink="$O$36" horiz="1" max="720" page="10" val="720"/>
</file>

<file path=xl/ctrlProps/ctrlProp23.xml><?xml version="1.0" encoding="utf-8"?>
<formControlPr xmlns="http://schemas.microsoft.com/office/spreadsheetml/2009/9/main" objectType="Scroll" dx="16" fmlaLink="$P$38" horiz="1" max="2" min="1" page="10" val="2"/>
</file>

<file path=xl/ctrlProps/ctrlProp24.xml><?xml version="1.0" encoding="utf-8"?>
<formControlPr xmlns="http://schemas.microsoft.com/office/spreadsheetml/2009/9/main" objectType="Scroll" dx="16" fmlaLink="$P$36" horiz="1" max="1440" min="720" page="10" val="900"/>
</file>

<file path=xl/ctrlProps/ctrlProp25.xml><?xml version="1.0" encoding="utf-8"?>
<formControlPr xmlns="http://schemas.microsoft.com/office/spreadsheetml/2009/9/main" objectType="Scroll" dx="16" fmlaLink="$L$6" horiz="1" max="21" min="1" page="10" val="21"/>
</file>

<file path=xl/ctrlProps/ctrlProp26.xml><?xml version="1.0" encoding="utf-8"?>
<formControlPr xmlns="http://schemas.microsoft.com/office/spreadsheetml/2009/9/main" objectType="Scroll" dx="16" fmlaLink="$M$40" horiz="1" max="3600" min="1" page="10" val="214"/>
</file>

<file path=xl/ctrlProps/ctrlProp27.xml><?xml version="1.0" encoding="utf-8"?>
<formControlPr xmlns="http://schemas.microsoft.com/office/spreadsheetml/2009/9/main" objectType="Scroll" dx="16" fmlaLink="$E$42" horiz="1" max="1440" page="10" val="810"/>
</file>

<file path=xl/ctrlProps/ctrlProp28.xml><?xml version="1.0" encoding="utf-8"?>
<formControlPr xmlns="http://schemas.microsoft.com/office/spreadsheetml/2009/9/main" objectType="Scroll" dx="16" fmlaLink="$M$42" horiz="1" max="3600" page="10" val="322"/>
</file>

<file path=xl/ctrlProps/ctrlProp29.xml><?xml version="1.0" encoding="utf-8"?>
<formControlPr xmlns="http://schemas.microsoft.com/office/spreadsheetml/2009/9/main" objectType="Scroll" dx="16" fmlaLink="$E$44" horiz="1" max="1440" page="10" val="1020"/>
</file>

<file path=xl/ctrlProps/ctrlProp30.xml><?xml version="1.0" encoding="utf-8"?>
<formControlPr xmlns="http://schemas.microsoft.com/office/spreadsheetml/2009/9/main" objectType="Scroll" dx="16" fmlaLink="$M$44" horiz="1" max="3600" page="10" val="60"/>
</file>

<file path=xl/ctrlProps/ctrlProp31.xml><?xml version="1.0" encoding="utf-8"?>
<formControlPr xmlns="http://schemas.microsoft.com/office/spreadsheetml/2009/9/main" objectType="Scroll" dx="16" fmlaLink="$E$46" horiz="1" max="1440" page="10" val="1110"/>
</file>

<file path=xl/ctrlProps/ctrlProp32.xml><?xml version="1.0" encoding="utf-8"?>
<formControlPr xmlns="http://schemas.microsoft.com/office/spreadsheetml/2009/9/main" objectType="Scroll" dx="16" fmlaLink="$M$46" horiz="1" max="3600" page="10" val="120"/>
</file>

<file path=xl/ctrlProps/ctrlProp33.xml><?xml version="1.0" encoding="utf-8"?>
<formControlPr xmlns="http://schemas.microsoft.com/office/spreadsheetml/2009/9/main" objectType="Scroll" dx="16" fmlaLink="$E$48" horiz="1" max="1440" page="10" val="1145"/>
</file>

<file path=xl/ctrlProps/ctrlProp34.xml><?xml version="1.0" encoding="utf-8"?>
<formControlPr xmlns="http://schemas.microsoft.com/office/spreadsheetml/2009/9/main" objectType="Scroll" dx="16" fmlaLink="$M$48" horiz="1" max="3600" page="10"/>
</file>

<file path=xl/ctrlProps/ctrlProp35.xml><?xml version="1.0" encoding="utf-8"?>
<formControlPr xmlns="http://schemas.microsoft.com/office/spreadsheetml/2009/9/main" objectType="Scroll" dx="16" fmlaLink="$E$50" horiz="1" max="1440" page="10" val="1201"/>
</file>

<file path=xl/ctrlProps/ctrlProp36.xml><?xml version="1.0" encoding="utf-8"?>
<formControlPr xmlns="http://schemas.microsoft.com/office/spreadsheetml/2009/9/main" objectType="Scroll" dx="16" fmlaLink="$M$50" horiz="1" max="3600" page="10"/>
</file>

<file path=xl/ctrlProps/ctrlProp37.xml><?xml version="1.0" encoding="utf-8"?>
<formControlPr xmlns="http://schemas.microsoft.com/office/spreadsheetml/2009/9/main" objectType="Scroll" dx="16" fmlaLink="$E$52" horiz="1" max="1440" page="10" val="1362"/>
</file>

<file path=xl/ctrlProps/ctrlProp38.xml><?xml version="1.0" encoding="utf-8"?>
<formControlPr xmlns="http://schemas.microsoft.com/office/spreadsheetml/2009/9/main" objectType="Scroll" dx="16" fmlaLink="$M$52" horiz="1" max="3600" page="10" val="4"/>
</file>

<file path=xl/ctrlProps/ctrlProp39.xml><?xml version="1.0" encoding="utf-8"?>
<formControlPr xmlns="http://schemas.microsoft.com/office/spreadsheetml/2009/9/main" objectType="Scroll" dx="16" fmlaLink="$E$54" horiz="1" max="1440" page="10" val="1439"/>
</file>

<file path=xl/ctrlProps/ctrlProp40.xml><?xml version="1.0" encoding="utf-8"?>
<formControlPr xmlns="http://schemas.microsoft.com/office/spreadsheetml/2009/9/main" objectType="Scroll" dx="16" fmlaLink="$M$54" horiz="1" max="3600" page="10"/>
</file>

<file path=xl/ctrlProps/ctrlProp41.xml><?xml version="1.0" encoding="utf-8"?>
<formControlPr xmlns="http://schemas.microsoft.com/office/spreadsheetml/2009/9/main" objectType="Scroll" dx="16" fmlaLink="$F$69" horiz="1" max="1000" min="1" page="10" val="3"/>
</file>

<file path=xl/ctrlProps/ctrlProp42.xml><?xml version="1.0" encoding="utf-8"?>
<formControlPr xmlns="http://schemas.microsoft.com/office/spreadsheetml/2009/9/main" objectType="Scroll" dx="16" fmlaLink="$P$71" horiz="1" max="10000" page="10" val="3990"/>
</file>

<file path=xl/ctrlProps/ctrlProp43.xml><?xml version="1.0" encoding="utf-8"?>
<formControlPr xmlns="http://schemas.microsoft.com/office/spreadsheetml/2009/9/main" objectType="Scroll" dx="16" fmlaLink="$F$12" horiz="1" max="10" min="1" page="10"/>
</file>

<file path=xl/ctrlProps/ctrlProp44.xml><?xml version="1.0" encoding="utf-8"?>
<formControlPr xmlns="http://schemas.microsoft.com/office/spreadsheetml/2009/9/main" objectType="Scroll" dx="16" fmlaLink="$O$58" horiz="1" max="10000" page="10" val="2000"/>
</file>

<file path=xl/ctrlProps/ctrlProp45.xml><?xml version="1.0" encoding="utf-8"?>
<formControlPr xmlns="http://schemas.microsoft.com/office/spreadsheetml/2009/9/main" objectType="Scroll" dx="16" fmlaLink="$P$58" horiz="1" max="10000" page="10" val="2000"/>
</file>

<file path=xl/ctrlProps/ctrlProp46.xml><?xml version="1.0" encoding="utf-8"?>
<formControlPr xmlns="http://schemas.microsoft.com/office/spreadsheetml/2009/9/main" objectType="Scroll" dx="16" fmlaLink="$O$60" horiz="1" max="10000" page="10" val="1000"/>
</file>

<file path=xl/ctrlProps/ctrlProp47.xml><?xml version="1.0" encoding="utf-8"?>
<formControlPr xmlns="http://schemas.microsoft.com/office/spreadsheetml/2009/9/main" objectType="Scroll" dx="16" fmlaLink="$P$60" horiz="1" max="10000" page="10" val="1000"/>
</file>

<file path=xl/ctrlProps/ctrlProp48.xml><?xml version="1.0" encoding="utf-8"?>
<formControlPr xmlns="http://schemas.microsoft.com/office/spreadsheetml/2009/9/main" objectType="Scroll" dx="16" fmlaLink="$O$62" horiz="1" max="10000" page="10" val="1000"/>
</file>

<file path=xl/ctrlProps/ctrlProp49.xml><?xml version="1.0" encoding="utf-8"?>
<formControlPr xmlns="http://schemas.microsoft.com/office/spreadsheetml/2009/9/main" objectType="Scroll" dx="16" fmlaLink="$P$62" horiz="1" max="10000" page="10" val="1000"/>
</file>

<file path=xl/ctrlProps/ctrlProp50.xml><?xml version="1.0" encoding="utf-8"?>
<formControlPr xmlns="http://schemas.microsoft.com/office/spreadsheetml/2009/9/main" objectType="Scroll" dx="16" fmlaLink="$O$64" horiz="1" max="10000" page="10" val="500"/>
</file>

<file path=xl/ctrlProps/ctrlProp51.xml><?xml version="1.0" encoding="utf-8"?>
<formControlPr xmlns="http://schemas.microsoft.com/office/spreadsheetml/2009/9/main" objectType="Scroll" dx="16" fmlaLink="$P$64" horiz="1" max="10000" page="10" val="500"/>
</file>

<file path=xl/ctrlProps/ctrlProp52.xml><?xml version="1.0" encoding="utf-8"?>
<formControlPr xmlns="http://schemas.microsoft.com/office/spreadsheetml/2009/9/main" objectType="Scroll" dx="16" fmlaLink="$O$66" horiz="1" max="10000" page="10" val="500"/>
</file>

<file path=xl/ctrlProps/ctrlProp53.xml><?xml version="1.0" encoding="utf-8"?>
<formControlPr xmlns="http://schemas.microsoft.com/office/spreadsheetml/2009/9/main" objectType="Radio" lockText="1"/>
</file>

<file path=xl/ctrlProps/ctrlProp54.xml><?xml version="1.0" encoding="utf-8"?>
<formControlPr xmlns="http://schemas.microsoft.com/office/spreadsheetml/2009/9/main" objectType="Scroll" dx="15" fmlaLink="$A$1" horiz="1" max="1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0</xdr:row>
      <xdr:rowOff>1</xdr:rowOff>
    </xdr:from>
    <xdr:to>
      <xdr:col>17</xdr:col>
      <xdr:colOff>66675</xdr:colOff>
      <xdr:row>1</xdr:row>
      <xdr:rowOff>19050</xdr:rowOff>
    </xdr:to>
    <xdr:pic>
      <xdr:nvPicPr>
        <xdr:cNvPr id="2" name="Obraz 1" descr="logo2 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1"/>
          <a:ext cx="10668000" cy="1104899"/>
        </a:xfrm>
        <a:prstGeom prst="rect">
          <a:avLst/>
        </a:prstGeom>
      </xdr:spPr>
    </xdr:pic>
    <xdr:clientData/>
  </xdr:twoCellAnchor>
  <xdr:twoCellAnchor editAs="oneCell">
    <xdr:from>
      <xdr:col>10</xdr:col>
      <xdr:colOff>523875</xdr:colOff>
      <xdr:row>21</xdr:row>
      <xdr:rowOff>200025</xdr:rowOff>
    </xdr:from>
    <xdr:to>
      <xdr:col>13</xdr:col>
      <xdr:colOff>378362</xdr:colOff>
      <xdr:row>31</xdr:row>
      <xdr:rowOff>18106</xdr:rowOff>
    </xdr:to>
    <xdr:pic>
      <xdr:nvPicPr>
        <xdr:cNvPr id="3" name="Obraz 2" descr="magazyn - ab c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24775" y="4305300"/>
          <a:ext cx="1683287" cy="13420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254000</xdr:rowOff>
        </xdr:from>
        <xdr:to>
          <xdr:col>10</xdr:col>
          <xdr:colOff>241300</xdr:colOff>
          <xdr:row>7</xdr:row>
          <xdr:rowOff>254000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0</xdr:rowOff>
        </xdr:from>
        <xdr:to>
          <xdr:col>10</xdr:col>
          <xdr:colOff>241300</xdr:colOff>
          <xdr:row>9</xdr:row>
          <xdr:rowOff>254000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</xdr:row>
          <xdr:rowOff>254000</xdr:rowOff>
        </xdr:from>
        <xdr:to>
          <xdr:col>7</xdr:col>
          <xdr:colOff>342900</xdr:colOff>
          <xdr:row>3</xdr:row>
          <xdr:rowOff>254000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7</xdr:row>
          <xdr:rowOff>76200</xdr:rowOff>
        </xdr:from>
        <xdr:to>
          <xdr:col>14</xdr:col>
          <xdr:colOff>342900</xdr:colOff>
          <xdr:row>19</xdr:row>
          <xdr:rowOff>177800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Routing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7</xdr:row>
          <xdr:rowOff>139700</xdr:rowOff>
        </xdr:from>
        <xdr:to>
          <xdr:col>14</xdr:col>
          <xdr:colOff>101600</xdr:colOff>
          <xdr:row>9</xdr:row>
          <xdr:rowOff>101600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S-shape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9</xdr:row>
          <xdr:rowOff>101600</xdr:rowOff>
        </xdr:from>
        <xdr:to>
          <xdr:col>14</xdr:col>
          <xdr:colOff>101600</xdr:colOff>
          <xdr:row>11</xdr:row>
          <xdr:rowOff>50800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Midpoint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11</xdr:row>
          <xdr:rowOff>50800</xdr:rowOff>
        </xdr:from>
        <xdr:to>
          <xdr:col>14</xdr:col>
          <xdr:colOff>101600</xdr:colOff>
          <xdr:row>13</xdr:row>
          <xdr:rowOff>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13</xdr:row>
          <xdr:rowOff>0</xdr:rowOff>
        </xdr:from>
        <xdr:to>
          <xdr:col>14</xdr:col>
          <xdr:colOff>101600</xdr:colOff>
          <xdr:row>14</xdr:row>
          <xdr:rowOff>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Largest Gap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14</xdr:row>
          <xdr:rowOff>0</xdr:rowOff>
        </xdr:from>
        <xdr:to>
          <xdr:col>14</xdr:col>
          <xdr:colOff>101600</xdr:colOff>
          <xdr:row>15</xdr:row>
          <xdr:rowOff>215900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15</xdr:row>
          <xdr:rowOff>215900</xdr:rowOff>
        </xdr:from>
        <xdr:to>
          <xdr:col>14</xdr:col>
          <xdr:colOff>101600</xdr:colOff>
          <xdr:row>17</xdr:row>
          <xdr:rowOff>165100</xdr:rowOff>
        </xdr:to>
        <xdr:sp macro="" textlink="">
          <xdr:nvSpPr>
            <xdr:cNvPr id="2062" name="Option Button 14" descr="Optimal - distanc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Optimal - distance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0</xdr:rowOff>
        </xdr:from>
        <xdr:to>
          <xdr:col>10</xdr:col>
          <xdr:colOff>241300</xdr:colOff>
          <xdr:row>13</xdr:row>
          <xdr:rowOff>254000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0</xdr:rowOff>
        </xdr:from>
        <xdr:to>
          <xdr:col>10</xdr:col>
          <xdr:colOff>241300</xdr:colOff>
          <xdr:row>15</xdr:row>
          <xdr:rowOff>254000</xdr:rowOff>
        </xdr:to>
        <xdr:sp macro="" textlink="">
          <xdr:nvSpPr>
            <xdr:cNvPr id="2076" name="Scroll Ba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0</xdr:rowOff>
        </xdr:from>
        <xdr:to>
          <xdr:col>10</xdr:col>
          <xdr:colOff>241300</xdr:colOff>
          <xdr:row>17</xdr:row>
          <xdr:rowOff>254000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0</xdr:rowOff>
        </xdr:from>
        <xdr:to>
          <xdr:col>10</xdr:col>
          <xdr:colOff>241300</xdr:colOff>
          <xdr:row>19</xdr:row>
          <xdr:rowOff>254000</xdr:rowOff>
        </xdr:to>
        <xdr:sp macro="" textlink="">
          <xdr:nvSpPr>
            <xdr:cNvPr id="2078" name="Scroll Ba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0</xdr:rowOff>
        </xdr:from>
        <xdr:to>
          <xdr:col>10</xdr:col>
          <xdr:colOff>241300</xdr:colOff>
          <xdr:row>23</xdr:row>
          <xdr:rowOff>254000</xdr:rowOff>
        </xdr:to>
        <xdr:sp macro="" textlink="">
          <xdr:nvSpPr>
            <xdr:cNvPr id="2079" name="Scroll Bar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0</xdr:rowOff>
        </xdr:from>
        <xdr:to>
          <xdr:col>10</xdr:col>
          <xdr:colOff>241300</xdr:colOff>
          <xdr:row>25</xdr:row>
          <xdr:rowOff>254000</xdr:rowOff>
        </xdr:to>
        <xdr:sp macro="" textlink="">
          <xdr:nvSpPr>
            <xdr:cNvPr id="2080" name="Scroll Bar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0</xdr:rowOff>
        </xdr:from>
        <xdr:to>
          <xdr:col>10</xdr:col>
          <xdr:colOff>241300</xdr:colOff>
          <xdr:row>27</xdr:row>
          <xdr:rowOff>254000</xdr:rowOff>
        </xdr:to>
        <xdr:sp macro="" textlink="">
          <xdr:nvSpPr>
            <xdr:cNvPr id="2081" name="Scroll Bar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0</xdr:rowOff>
        </xdr:from>
        <xdr:to>
          <xdr:col>10</xdr:col>
          <xdr:colOff>241300</xdr:colOff>
          <xdr:row>29</xdr:row>
          <xdr:rowOff>254000</xdr:rowOff>
        </xdr:to>
        <xdr:sp macro="" textlink="">
          <xdr:nvSpPr>
            <xdr:cNvPr id="2082" name="Scroll Bar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31</xdr:row>
          <xdr:rowOff>0</xdr:rowOff>
        </xdr:from>
        <xdr:to>
          <xdr:col>10</xdr:col>
          <xdr:colOff>241300</xdr:colOff>
          <xdr:row>31</xdr:row>
          <xdr:rowOff>254000</xdr:rowOff>
        </xdr:to>
        <xdr:sp macro="" textlink="">
          <xdr:nvSpPr>
            <xdr:cNvPr id="2083" name="Scroll Bar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22</xdr:row>
          <xdr:rowOff>0</xdr:rowOff>
        </xdr:from>
        <xdr:to>
          <xdr:col>16</xdr:col>
          <xdr:colOff>152400</xdr:colOff>
          <xdr:row>29</xdr:row>
          <xdr:rowOff>127000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PT" sz="16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Default forklift movement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0</xdr:rowOff>
        </xdr:from>
        <xdr:to>
          <xdr:col>10</xdr:col>
          <xdr:colOff>241300</xdr:colOff>
          <xdr:row>21</xdr:row>
          <xdr:rowOff>254000</xdr:rowOff>
        </xdr:to>
        <xdr:sp macro="" textlink="">
          <xdr:nvSpPr>
            <xdr:cNvPr id="2086" name="Scroll Bar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35</xdr:row>
          <xdr:rowOff>0</xdr:rowOff>
        </xdr:from>
        <xdr:to>
          <xdr:col>9</xdr:col>
          <xdr:colOff>330200</xdr:colOff>
          <xdr:row>35</xdr:row>
          <xdr:rowOff>254000</xdr:rowOff>
        </xdr:to>
        <xdr:sp macro="" textlink="">
          <xdr:nvSpPr>
            <xdr:cNvPr id="2087" name="Scroll Bar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36</xdr:row>
          <xdr:rowOff>254000</xdr:rowOff>
        </xdr:from>
        <xdr:to>
          <xdr:col>7</xdr:col>
          <xdr:colOff>342900</xdr:colOff>
          <xdr:row>37</xdr:row>
          <xdr:rowOff>254000</xdr:rowOff>
        </xdr:to>
        <xdr:sp macro="" textlink="">
          <xdr:nvSpPr>
            <xdr:cNvPr id="2088" name="Scroll Bar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35</xdr:row>
          <xdr:rowOff>0</xdr:rowOff>
        </xdr:from>
        <xdr:to>
          <xdr:col>14</xdr:col>
          <xdr:colOff>330200</xdr:colOff>
          <xdr:row>35</xdr:row>
          <xdr:rowOff>254000</xdr:rowOff>
        </xdr:to>
        <xdr:sp macro="" textlink="">
          <xdr:nvSpPr>
            <xdr:cNvPr id="2091" name="Scroll Bar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254000</xdr:rowOff>
        </xdr:from>
        <xdr:to>
          <xdr:col>15</xdr:col>
          <xdr:colOff>241300</xdr:colOff>
          <xdr:row>3</xdr:row>
          <xdr:rowOff>254000</xdr:rowOff>
        </xdr:to>
        <xdr:sp macro="" textlink="">
          <xdr:nvSpPr>
            <xdr:cNvPr id="2093" name="Scroll Bar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39</xdr:row>
          <xdr:rowOff>0</xdr:rowOff>
        </xdr:from>
        <xdr:to>
          <xdr:col>14</xdr:col>
          <xdr:colOff>596900</xdr:colOff>
          <xdr:row>39</xdr:row>
          <xdr:rowOff>254000</xdr:rowOff>
        </xdr:to>
        <xdr:sp macro="" textlink="">
          <xdr:nvSpPr>
            <xdr:cNvPr id="2104" name="Scroll Bar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41</xdr:row>
          <xdr:rowOff>0</xdr:rowOff>
        </xdr:from>
        <xdr:to>
          <xdr:col>5</xdr:col>
          <xdr:colOff>304800</xdr:colOff>
          <xdr:row>41</xdr:row>
          <xdr:rowOff>254000</xdr:rowOff>
        </xdr:to>
        <xdr:sp macro="" textlink="">
          <xdr:nvSpPr>
            <xdr:cNvPr id="2105" name="Scroll Bar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41</xdr:row>
          <xdr:rowOff>0</xdr:rowOff>
        </xdr:from>
        <xdr:to>
          <xdr:col>14</xdr:col>
          <xdr:colOff>596900</xdr:colOff>
          <xdr:row>41</xdr:row>
          <xdr:rowOff>254000</xdr:rowOff>
        </xdr:to>
        <xdr:sp macro="" textlink="">
          <xdr:nvSpPr>
            <xdr:cNvPr id="2107" name="Scroll Bar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43</xdr:row>
          <xdr:rowOff>0</xdr:rowOff>
        </xdr:from>
        <xdr:to>
          <xdr:col>5</xdr:col>
          <xdr:colOff>304800</xdr:colOff>
          <xdr:row>43</xdr:row>
          <xdr:rowOff>254000</xdr:rowOff>
        </xdr:to>
        <xdr:sp macro="" textlink="">
          <xdr:nvSpPr>
            <xdr:cNvPr id="2108" name="Scroll Bar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43</xdr:row>
          <xdr:rowOff>0</xdr:rowOff>
        </xdr:from>
        <xdr:to>
          <xdr:col>14</xdr:col>
          <xdr:colOff>596900</xdr:colOff>
          <xdr:row>43</xdr:row>
          <xdr:rowOff>254000</xdr:rowOff>
        </xdr:to>
        <xdr:sp macro="" textlink="">
          <xdr:nvSpPr>
            <xdr:cNvPr id="2110" name="Scroll Bar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45</xdr:row>
          <xdr:rowOff>0</xdr:rowOff>
        </xdr:from>
        <xdr:to>
          <xdr:col>5</xdr:col>
          <xdr:colOff>304800</xdr:colOff>
          <xdr:row>45</xdr:row>
          <xdr:rowOff>254000</xdr:rowOff>
        </xdr:to>
        <xdr:sp macro="" textlink="">
          <xdr:nvSpPr>
            <xdr:cNvPr id="2111" name="Scroll Bar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45</xdr:row>
          <xdr:rowOff>0</xdr:rowOff>
        </xdr:from>
        <xdr:to>
          <xdr:col>14</xdr:col>
          <xdr:colOff>596900</xdr:colOff>
          <xdr:row>45</xdr:row>
          <xdr:rowOff>254000</xdr:rowOff>
        </xdr:to>
        <xdr:sp macro="" textlink="">
          <xdr:nvSpPr>
            <xdr:cNvPr id="2113" name="Scroll Bar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47</xdr:row>
          <xdr:rowOff>0</xdr:rowOff>
        </xdr:from>
        <xdr:to>
          <xdr:col>5</xdr:col>
          <xdr:colOff>304800</xdr:colOff>
          <xdr:row>47</xdr:row>
          <xdr:rowOff>254000</xdr:rowOff>
        </xdr:to>
        <xdr:sp macro="" textlink="">
          <xdr:nvSpPr>
            <xdr:cNvPr id="2114" name="Scroll Bar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47</xdr:row>
          <xdr:rowOff>0</xdr:rowOff>
        </xdr:from>
        <xdr:to>
          <xdr:col>14</xdr:col>
          <xdr:colOff>596900</xdr:colOff>
          <xdr:row>47</xdr:row>
          <xdr:rowOff>254000</xdr:rowOff>
        </xdr:to>
        <xdr:sp macro="" textlink="">
          <xdr:nvSpPr>
            <xdr:cNvPr id="2116" name="Scroll Bar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49</xdr:row>
          <xdr:rowOff>0</xdr:rowOff>
        </xdr:from>
        <xdr:to>
          <xdr:col>5</xdr:col>
          <xdr:colOff>304800</xdr:colOff>
          <xdr:row>49</xdr:row>
          <xdr:rowOff>254000</xdr:rowOff>
        </xdr:to>
        <xdr:sp macro="" textlink="">
          <xdr:nvSpPr>
            <xdr:cNvPr id="2117" name="Scroll Bar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49</xdr:row>
          <xdr:rowOff>0</xdr:rowOff>
        </xdr:from>
        <xdr:to>
          <xdr:col>14</xdr:col>
          <xdr:colOff>596900</xdr:colOff>
          <xdr:row>49</xdr:row>
          <xdr:rowOff>254000</xdr:rowOff>
        </xdr:to>
        <xdr:sp macro="" textlink="">
          <xdr:nvSpPr>
            <xdr:cNvPr id="2119" name="Scroll Bar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51</xdr:row>
          <xdr:rowOff>0</xdr:rowOff>
        </xdr:from>
        <xdr:to>
          <xdr:col>5</xdr:col>
          <xdr:colOff>304800</xdr:colOff>
          <xdr:row>51</xdr:row>
          <xdr:rowOff>254000</xdr:rowOff>
        </xdr:to>
        <xdr:sp macro="" textlink="">
          <xdr:nvSpPr>
            <xdr:cNvPr id="2120" name="Scroll Bar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51</xdr:row>
          <xdr:rowOff>0</xdr:rowOff>
        </xdr:from>
        <xdr:to>
          <xdr:col>14</xdr:col>
          <xdr:colOff>596900</xdr:colOff>
          <xdr:row>51</xdr:row>
          <xdr:rowOff>254000</xdr:rowOff>
        </xdr:to>
        <xdr:sp macro="" textlink="">
          <xdr:nvSpPr>
            <xdr:cNvPr id="2122" name="Scroll Bar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53</xdr:row>
          <xdr:rowOff>0</xdr:rowOff>
        </xdr:from>
        <xdr:to>
          <xdr:col>5</xdr:col>
          <xdr:colOff>304800</xdr:colOff>
          <xdr:row>53</xdr:row>
          <xdr:rowOff>254000</xdr:rowOff>
        </xdr:to>
        <xdr:sp macro="" textlink="">
          <xdr:nvSpPr>
            <xdr:cNvPr id="2123" name="Scroll Bar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53</xdr:row>
          <xdr:rowOff>0</xdr:rowOff>
        </xdr:from>
        <xdr:to>
          <xdr:col>14</xdr:col>
          <xdr:colOff>596900</xdr:colOff>
          <xdr:row>53</xdr:row>
          <xdr:rowOff>254000</xdr:rowOff>
        </xdr:to>
        <xdr:sp macro="" textlink="">
          <xdr:nvSpPr>
            <xdr:cNvPr id="2125" name="Scroll Bar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68</xdr:row>
          <xdr:rowOff>0</xdr:rowOff>
        </xdr:from>
        <xdr:to>
          <xdr:col>12</xdr:col>
          <xdr:colOff>457200</xdr:colOff>
          <xdr:row>68</xdr:row>
          <xdr:rowOff>254000</xdr:rowOff>
        </xdr:to>
        <xdr:sp macro="" textlink="">
          <xdr:nvSpPr>
            <xdr:cNvPr id="2132" name="Scroll Bar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70</xdr:row>
          <xdr:rowOff>0</xdr:rowOff>
        </xdr:from>
        <xdr:to>
          <xdr:col>12</xdr:col>
          <xdr:colOff>457200</xdr:colOff>
          <xdr:row>70</xdr:row>
          <xdr:rowOff>254000</xdr:rowOff>
        </xdr:to>
        <xdr:sp macro="" textlink="">
          <xdr:nvSpPr>
            <xdr:cNvPr id="2133" name="Scroll Bar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0</xdr:rowOff>
        </xdr:from>
        <xdr:to>
          <xdr:col>10</xdr:col>
          <xdr:colOff>241300</xdr:colOff>
          <xdr:row>11</xdr:row>
          <xdr:rowOff>254000</xdr:rowOff>
        </xdr:to>
        <xdr:sp macro="" textlink="">
          <xdr:nvSpPr>
            <xdr:cNvPr id="2134" name="Scroll Bar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57</xdr:row>
          <xdr:rowOff>0</xdr:rowOff>
        </xdr:from>
        <xdr:to>
          <xdr:col>6</xdr:col>
          <xdr:colOff>228600</xdr:colOff>
          <xdr:row>57</xdr:row>
          <xdr:rowOff>254000</xdr:rowOff>
        </xdr:to>
        <xdr:sp macro="" textlink="">
          <xdr:nvSpPr>
            <xdr:cNvPr id="2135" name="Scroll Bar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57</xdr:row>
          <xdr:rowOff>0</xdr:rowOff>
        </xdr:from>
        <xdr:to>
          <xdr:col>14</xdr:col>
          <xdr:colOff>254000</xdr:colOff>
          <xdr:row>57</xdr:row>
          <xdr:rowOff>254000</xdr:rowOff>
        </xdr:to>
        <xdr:sp macro="" textlink="">
          <xdr:nvSpPr>
            <xdr:cNvPr id="2137" name="Scroll Bar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59</xdr:row>
          <xdr:rowOff>0</xdr:rowOff>
        </xdr:from>
        <xdr:to>
          <xdr:col>6</xdr:col>
          <xdr:colOff>228600</xdr:colOff>
          <xdr:row>59</xdr:row>
          <xdr:rowOff>254000</xdr:rowOff>
        </xdr:to>
        <xdr:sp macro="" textlink="">
          <xdr:nvSpPr>
            <xdr:cNvPr id="2138" name="Scroll Bar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59</xdr:row>
          <xdr:rowOff>0</xdr:rowOff>
        </xdr:from>
        <xdr:to>
          <xdr:col>14</xdr:col>
          <xdr:colOff>254000</xdr:colOff>
          <xdr:row>59</xdr:row>
          <xdr:rowOff>254000</xdr:rowOff>
        </xdr:to>
        <xdr:sp macro="" textlink="">
          <xdr:nvSpPr>
            <xdr:cNvPr id="2139" name="Scroll Bar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61</xdr:row>
          <xdr:rowOff>0</xdr:rowOff>
        </xdr:from>
        <xdr:to>
          <xdr:col>6</xdr:col>
          <xdr:colOff>228600</xdr:colOff>
          <xdr:row>61</xdr:row>
          <xdr:rowOff>254000</xdr:rowOff>
        </xdr:to>
        <xdr:sp macro="" textlink="">
          <xdr:nvSpPr>
            <xdr:cNvPr id="2140" name="Scroll Bar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61</xdr:row>
          <xdr:rowOff>0</xdr:rowOff>
        </xdr:from>
        <xdr:to>
          <xdr:col>14</xdr:col>
          <xdr:colOff>254000</xdr:colOff>
          <xdr:row>61</xdr:row>
          <xdr:rowOff>254000</xdr:rowOff>
        </xdr:to>
        <xdr:sp macro="" textlink="">
          <xdr:nvSpPr>
            <xdr:cNvPr id="2141" name="Scroll Bar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63</xdr:row>
          <xdr:rowOff>0</xdr:rowOff>
        </xdr:from>
        <xdr:to>
          <xdr:col>6</xdr:col>
          <xdr:colOff>228600</xdr:colOff>
          <xdr:row>63</xdr:row>
          <xdr:rowOff>254000</xdr:rowOff>
        </xdr:to>
        <xdr:sp macro="" textlink="">
          <xdr:nvSpPr>
            <xdr:cNvPr id="2142" name="Scroll Bar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63</xdr:row>
          <xdr:rowOff>0</xdr:rowOff>
        </xdr:from>
        <xdr:to>
          <xdr:col>14</xdr:col>
          <xdr:colOff>254000</xdr:colOff>
          <xdr:row>63</xdr:row>
          <xdr:rowOff>254000</xdr:rowOff>
        </xdr:to>
        <xdr:sp macro="" textlink="">
          <xdr:nvSpPr>
            <xdr:cNvPr id="2143" name="Scroll Bar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65</xdr:row>
          <xdr:rowOff>0</xdr:rowOff>
        </xdr:from>
        <xdr:to>
          <xdr:col>6</xdr:col>
          <xdr:colOff>228600</xdr:colOff>
          <xdr:row>65</xdr:row>
          <xdr:rowOff>254000</xdr:rowOff>
        </xdr:to>
        <xdr:sp macro="" textlink="">
          <xdr:nvSpPr>
            <xdr:cNvPr id="2144" name="Scroll Bar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17</xdr:row>
          <xdr:rowOff>165100</xdr:rowOff>
        </xdr:from>
        <xdr:to>
          <xdr:col>14</xdr:col>
          <xdr:colOff>101600</xdr:colOff>
          <xdr:row>19</xdr:row>
          <xdr:rowOff>114300</xdr:rowOff>
        </xdr:to>
        <xdr:sp macro="" textlink="">
          <xdr:nvSpPr>
            <xdr:cNvPr id="2145" name="Option 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Optimal - time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27215</xdr:colOff>
      <xdr:row>0</xdr:row>
      <xdr:rowOff>54428</xdr:rowOff>
    </xdr:from>
    <xdr:to>
      <xdr:col>0</xdr:col>
      <xdr:colOff>1259122</xdr:colOff>
      <xdr:row>13</xdr:row>
      <xdr:rowOff>28575</xdr:rowOff>
    </xdr:to>
    <xdr:pic macro="[0]!kompletacja">
      <xdr:nvPicPr>
        <xdr:cNvPr id="4" name="Obraz 3" descr="przycisk START2 3d.jpg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5" y="54428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0</xdr:row>
      <xdr:rowOff>27214</xdr:rowOff>
    </xdr:from>
    <xdr:to>
      <xdr:col>0</xdr:col>
      <xdr:colOff>1259121</xdr:colOff>
      <xdr:row>13</xdr:row>
      <xdr:rowOff>1361</xdr:rowOff>
    </xdr:to>
    <xdr:pic macro="[0]!kompletacja">
      <xdr:nvPicPr>
        <xdr:cNvPr id="6" name="Obraz 5" descr="przycisk START2 3d.jpg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4" y="27214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40821</xdr:colOff>
      <xdr:row>0</xdr:row>
      <xdr:rowOff>54429</xdr:rowOff>
    </xdr:from>
    <xdr:to>
      <xdr:col>0</xdr:col>
      <xdr:colOff>1272728</xdr:colOff>
      <xdr:row>13</xdr:row>
      <xdr:rowOff>28576</xdr:rowOff>
    </xdr:to>
    <xdr:pic macro="[0]!kompletacja">
      <xdr:nvPicPr>
        <xdr:cNvPr id="7" name="Obraz 6" descr="przycisk START2 3d.jpg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821" y="54429"/>
          <a:ext cx="1231907" cy="11035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0</xdr:col>
          <xdr:colOff>1130300</xdr:colOff>
          <xdr:row>7</xdr:row>
          <xdr:rowOff>38100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1319156</xdr:rowOff>
    </xdr:to>
    <xdr:pic macro="[0]!skasuj_raporty_wozkow">
      <xdr:nvPicPr>
        <xdr:cNvPr id="4" name="Obraz 3" descr="report-forklifts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8700" cy="13191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1373634</xdr:rowOff>
    </xdr:to>
    <xdr:pic macro="[0]!skasuj_raporty_zamowien">
      <xdr:nvPicPr>
        <xdr:cNvPr id="4" name="Obraz 3" descr="report-orders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28700" cy="13736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7"/>
  <dimension ref="A1:AI73"/>
  <sheetViews>
    <sheetView topLeftCell="A3" workbookViewId="0">
      <selection activeCell="C4" sqref="C4"/>
    </sheetView>
  </sheetViews>
  <sheetFormatPr baseColWidth="10" defaultColWidth="0" defaultRowHeight="13" zeroHeight="1"/>
  <cols>
    <col min="1" max="1" width="4.6640625" style="17" customWidth="1"/>
    <col min="2" max="2" width="4.5" style="17" customWidth="1"/>
    <col min="3" max="3" width="16.33203125" style="17" customWidth="1"/>
    <col min="4" max="4" width="9.1640625" style="17" customWidth="1"/>
    <col min="5" max="5" width="27.5" style="18" customWidth="1"/>
    <col min="6" max="6" width="9.33203125" style="17" customWidth="1"/>
    <col min="7" max="15" width="9.1640625" style="17" customWidth="1"/>
    <col min="16" max="16" width="6" style="17" customWidth="1"/>
    <col min="17" max="17" width="4" style="17" customWidth="1"/>
    <col min="18" max="18" width="4.6640625" style="17" customWidth="1"/>
    <col min="19" max="29" width="9.1640625" style="17" hidden="1" customWidth="1"/>
    <col min="30" max="35" width="0" style="17" hidden="1" customWidth="1"/>
    <col min="36" max="16384" width="9.1640625" style="17" hidden="1"/>
  </cols>
  <sheetData>
    <row r="1" spans="2:18" ht="85.5" customHeight="1">
      <c r="R1" s="19"/>
    </row>
    <row r="2" spans="2:18" ht="31" thickBot="1">
      <c r="B2" s="92" t="s">
        <v>46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8" ht="8" customHeight="1">
      <c r="B3" s="30"/>
      <c r="C3" s="31"/>
      <c r="D3" s="31"/>
      <c r="E3" s="32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3"/>
    </row>
    <row r="4" spans="2:18" ht="20.25" customHeight="1">
      <c r="B4" s="34"/>
      <c r="C4" s="24"/>
      <c r="D4" s="24"/>
      <c r="E4" s="21" t="s">
        <v>45</v>
      </c>
      <c r="F4" s="16" t="str">
        <f>IF(G6=1,"OFF","ON")</f>
        <v>ON</v>
      </c>
      <c r="G4" s="24"/>
      <c r="H4" s="24"/>
      <c r="I4" s="20"/>
      <c r="J4" s="21" t="s">
        <v>52</v>
      </c>
      <c r="K4" s="16" t="str">
        <f>IF(L6&lt;21,L6,"MAX")</f>
        <v>MAX</v>
      </c>
      <c r="L4" s="36"/>
      <c r="M4" s="36"/>
      <c r="N4" s="36"/>
      <c r="O4" s="36"/>
      <c r="P4" s="36"/>
      <c r="Q4" s="37"/>
    </row>
    <row r="5" spans="2:18" ht="4" customHeight="1">
      <c r="B5" s="34"/>
      <c r="C5" s="24"/>
      <c r="D5" s="24"/>
      <c r="E5" s="38"/>
      <c r="F5" s="23"/>
      <c r="G5" s="24"/>
      <c r="H5" s="24"/>
      <c r="I5" s="24"/>
      <c r="J5" s="24"/>
      <c r="K5" s="24"/>
      <c r="L5" s="24"/>
      <c r="M5" s="24"/>
      <c r="N5" s="24"/>
      <c r="O5" s="24"/>
      <c r="P5" s="24"/>
      <c r="Q5" s="37"/>
    </row>
    <row r="6" spans="2:18" ht="4" customHeight="1" thickBot="1">
      <c r="B6" s="34"/>
      <c r="C6" s="24"/>
      <c r="D6" s="24"/>
      <c r="E6" s="38"/>
      <c r="F6" s="23"/>
      <c r="G6" s="24">
        <v>2</v>
      </c>
      <c r="H6" s="24"/>
      <c r="I6" s="24"/>
      <c r="J6" s="24"/>
      <c r="K6" s="24"/>
      <c r="L6" s="24">
        <v>21</v>
      </c>
      <c r="M6" s="24"/>
      <c r="N6" s="24"/>
      <c r="O6" s="24"/>
      <c r="P6" s="24"/>
      <c r="Q6" s="37"/>
    </row>
    <row r="7" spans="2:18" ht="4" customHeight="1">
      <c r="B7" s="39"/>
      <c r="C7" s="40"/>
      <c r="D7" s="40"/>
      <c r="E7" s="41"/>
      <c r="F7" s="42"/>
      <c r="G7" s="40"/>
      <c r="H7" s="40"/>
      <c r="I7" s="40"/>
      <c r="J7" s="40"/>
      <c r="K7" s="40"/>
      <c r="L7" s="40"/>
      <c r="M7" s="40"/>
      <c r="N7" s="40"/>
      <c r="O7" s="40"/>
      <c r="P7" s="40"/>
      <c r="Q7" s="43"/>
    </row>
    <row r="8" spans="2:18" ht="20.25" customHeight="1">
      <c r="B8" s="44"/>
      <c r="C8" s="36"/>
      <c r="D8" s="36"/>
      <c r="E8" s="21" t="s">
        <v>43</v>
      </c>
      <c r="F8" s="16">
        <f>(P10-1)*2</f>
        <v>12</v>
      </c>
      <c r="G8" s="36"/>
      <c r="H8" s="36"/>
      <c r="I8" s="36"/>
      <c r="J8" s="36"/>
      <c r="K8" s="36"/>
      <c r="L8" s="36"/>
      <c r="M8" s="36"/>
      <c r="N8" s="36"/>
      <c r="O8" s="36"/>
      <c r="P8" s="36">
        <v>5</v>
      </c>
      <c r="Q8" s="45"/>
    </row>
    <row r="9" spans="2:18" ht="4" customHeight="1">
      <c r="B9" s="44"/>
      <c r="C9" s="36"/>
      <c r="D9" s="36"/>
      <c r="E9" s="35"/>
      <c r="F9" s="46"/>
      <c r="G9" s="36"/>
      <c r="H9" s="36"/>
      <c r="I9" s="36"/>
      <c r="J9" s="36"/>
      <c r="K9" s="36"/>
      <c r="L9" s="36"/>
      <c r="M9" s="36"/>
      <c r="N9" s="36"/>
      <c r="O9" s="36"/>
      <c r="P9" s="36"/>
      <c r="Q9" s="45"/>
    </row>
    <row r="10" spans="2:18" ht="20.25" customHeight="1">
      <c r="B10" s="44"/>
      <c r="C10" s="36"/>
      <c r="D10" s="36"/>
      <c r="E10" s="21" t="s">
        <v>44</v>
      </c>
      <c r="F10" s="16">
        <v>10</v>
      </c>
      <c r="G10" s="36"/>
      <c r="H10" s="36"/>
      <c r="I10" s="36"/>
      <c r="J10" s="36"/>
      <c r="K10" s="36"/>
      <c r="L10" s="36"/>
      <c r="M10" s="36"/>
      <c r="N10" s="36"/>
      <c r="O10" s="36"/>
      <c r="P10" s="36">
        <v>7</v>
      </c>
      <c r="Q10" s="45"/>
    </row>
    <row r="11" spans="2:18" ht="4" customHeight="1">
      <c r="B11" s="44"/>
      <c r="C11" s="36"/>
      <c r="D11" s="36"/>
      <c r="E11" s="35"/>
      <c r="F11" s="4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45"/>
    </row>
    <row r="12" spans="2:18" ht="20.25" customHeight="1">
      <c r="B12" s="44"/>
      <c r="C12" s="36"/>
      <c r="D12" s="36"/>
      <c r="E12" s="21" t="s">
        <v>64</v>
      </c>
      <c r="F12" s="16">
        <v>1</v>
      </c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45"/>
    </row>
    <row r="13" spans="2:18" ht="4" customHeight="1">
      <c r="B13" s="44"/>
      <c r="C13" s="36"/>
      <c r="D13" s="36"/>
      <c r="E13" s="35"/>
      <c r="F13" s="4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45"/>
    </row>
    <row r="14" spans="2:18" ht="20.25" customHeight="1">
      <c r="B14" s="44"/>
      <c r="C14" s="36"/>
      <c r="D14" s="36"/>
      <c r="E14" s="21" t="s">
        <v>47</v>
      </c>
      <c r="F14" s="16">
        <v>3</v>
      </c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45"/>
    </row>
    <row r="15" spans="2:18" ht="4" customHeight="1">
      <c r="B15" s="44"/>
      <c r="C15" s="36"/>
      <c r="D15" s="36"/>
      <c r="E15" s="35"/>
      <c r="F15" s="4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45"/>
    </row>
    <row r="16" spans="2:18" ht="20.25" customHeight="1">
      <c r="B16" s="44"/>
      <c r="C16" s="36"/>
      <c r="D16" s="36"/>
      <c r="E16" s="21" t="s">
        <v>48</v>
      </c>
      <c r="F16" s="16">
        <f>IF(P16&gt;0,P16,"Dataset")</f>
        <v>12</v>
      </c>
      <c r="G16" s="36"/>
      <c r="H16" s="36"/>
      <c r="I16" s="36"/>
      <c r="J16" s="36"/>
      <c r="K16" s="36"/>
      <c r="L16" s="36"/>
      <c r="M16" s="36"/>
      <c r="N16" s="36"/>
      <c r="O16" s="36"/>
      <c r="P16" s="36">
        <v>12</v>
      </c>
      <c r="Q16" s="45"/>
    </row>
    <row r="17" spans="2:17" ht="4" customHeight="1">
      <c r="B17" s="44"/>
      <c r="C17" s="36"/>
      <c r="D17" s="36"/>
      <c r="E17" s="35"/>
      <c r="F17" s="36"/>
      <c r="G17" s="36"/>
      <c r="H17" s="36"/>
      <c r="I17" s="36"/>
      <c r="J17" s="36"/>
      <c r="K17" s="36"/>
      <c r="L17" s="36"/>
      <c r="M17" s="36"/>
      <c r="N17" s="20"/>
      <c r="O17" s="20"/>
      <c r="P17" s="20"/>
      <c r="Q17" s="45"/>
    </row>
    <row r="18" spans="2:17" ht="20.25" customHeight="1">
      <c r="B18" s="44"/>
      <c r="C18" s="36"/>
      <c r="D18" s="36"/>
      <c r="E18" s="21" t="s">
        <v>119</v>
      </c>
      <c r="F18" s="16">
        <f>P18/100</f>
        <v>0.52</v>
      </c>
      <c r="G18" s="36"/>
      <c r="H18" s="36"/>
      <c r="I18" s="36"/>
      <c r="J18" s="36"/>
      <c r="K18" s="36"/>
      <c r="L18" s="36"/>
      <c r="M18" s="36"/>
      <c r="N18" s="20"/>
      <c r="O18" s="20"/>
      <c r="P18" s="20">
        <v>52</v>
      </c>
      <c r="Q18" s="45"/>
    </row>
    <row r="19" spans="2:17" ht="4" customHeight="1">
      <c r="B19" s="44"/>
      <c r="C19" s="36"/>
      <c r="D19" s="36"/>
      <c r="E19" s="35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45"/>
    </row>
    <row r="20" spans="2:17" ht="20.25" customHeight="1">
      <c r="B20" s="44"/>
      <c r="C20" s="36"/>
      <c r="D20" s="36"/>
      <c r="E20" s="21" t="s">
        <v>120</v>
      </c>
      <c r="F20" s="16">
        <f>P20/100</f>
        <v>1.32</v>
      </c>
      <c r="G20" s="36"/>
      <c r="H20" s="36"/>
      <c r="I20" s="36"/>
      <c r="J20" s="36"/>
      <c r="K20" s="36"/>
      <c r="L20" s="36"/>
      <c r="M20" s="36"/>
      <c r="N20" s="36">
        <v>132</v>
      </c>
      <c r="O20" s="36"/>
      <c r="P20" s="36">
        <v>132</v>
      </c>
      <c r="Q20" s="45"/>
    </row>
    <row r="21" spans="2:17" ht="4" customHeight="1">
      <c r="B21" s="44"/>
      <c r="C21" s="36"/>
      <c r="D21" s="36"/>
      <c r="E21" s="35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45"/>
    </row>
    <row r="22" spans="2:17" ht="20.25" customHeight="1">
      <c r="B22" s="44"/>
      <c r="C22" s="36"/>
      <c r="D22" s="36"/>
      <c r="E22" s="21" t="s">
        <v>121</v>
      </c>
      <c r="F22" s="16">
        <f>P22/100</f>
        <v>1.2</v>
      </c>
      <c r="G22" s="36"/>
      <c r="H22" s="36"/>
      <c r="I22" s="36"/>
      <c r="J22" s="36"/>
      <c r="K22" s="36"/>
      <c r="L22" s="36"/>
      <c r="M22" s="36"/>
      <c r="N22" s="36">
        <v>132</v>
      </c>
      <c r="O22" s="36"/>
      <c r="P22" s="36">
        <v>120</v>
      </c>
      <c r="Q22" s="45"/>
    </row>
    <row r="23" spans="2:17" ht="4" customHeight="1">
      <c r="B23" s="44"/>
      <c r="C23" s="36"/>
      <c r="D23" s="36"/>
      <c r="E23" s="35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45"/>
    </row>
    <row r="24" spans="2:17" ht="20.25" customHeight="1">
      <c r="B24" s="44"/>
      <c r="C24" s="36"/>
      <c r="D24" s="36"/>
      <c r="E24" s="21" t="s">
        <v>122</v>
      </c>
      <c r="F24" s="16">
        <f>P24/100</f>
        <v>3.3</v>
      </c>
      <c r="G24" s="36"/>
      <c r="H24" s="36"/>
      <c r="I24" s="36"/>
      <c r="J24" s="36"/>
      <c r="K24" s="36"/>
      <c r="L24" s="36"/>
      <c r="M24" s="36"/>
      <c r="N24" s="36">
        <v>330</v>
      </c>
      <c r="O24" s="36"/>
      <c r="P24" s="36">
        <v>330</v>
      </c>
      <c r="Q24" s="45"/>
    </row>
    <row r="25" spans="2:17" ht="4" customHeight="1">
      <c r="B25" s="44"/>
      <c r="C25" s="36"/>
      <c r="D25" s="36"/>
      <c r="E25" s="35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45"/>
    </row>
    <row r="26" spans="2:17" ht="20.25" customHeight="1">
      <c r="B26" s="44"/>
      <c r="C26" s="36"/>
      <c r="D26" s="36"/>
      <c r="E26" s="21" t="s">
        <v>123</v>
      </c>
      <c r="F26" s="16">
        <f>P26/100</f>
        <v>5.7</v>
      </c>
      <c r="G26" s="36"/>
      <c r="H26" s="36"/>
      <c r="I26" s="36"/>
      <c r="J26" s="36"/>
      <c r="K26" s="36"/>
      <c r="L26" s="36"/>
      <c r="M26" s="36"/>
      <c r="N26" s="36">
        <v>570</v>
      </c>
      <c r="O26" s="36"/>
      <c r="P26" s="36">
        <v>570</v>
      </c>
      <c r="Q26" s="45"/>
    </row>
    <row r="27" spans="2:17" ht="4" customHeight="1">
      <c r="B27" s="44"/>
      <c r="C27" s="36"/>
      <c r="D27" s="36"/>
      <c r="E27" s="35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45"/>
    </row>
    <row r="28" spans="2:17" ht="20.25" customHeight="1">
      <c r="B28" s="44"/>
      <c r="C28" s="36"/>
      <c r="D28" s="36"/>
      <c r="E28" s="21" t="s">
        <v>124</v>
      </c>
      <c r="F28" s="16">
        <f>P28/100</f>
        <v>14.36</v>
      </c>
      <c r="G28" s="36"/>
      <c r="H28" s="36"/>
      <c r="I28" s="36"/>
      <c r="J28" s="36"/>
      <c r="K28" s="36"/>
      <c r="L28" s="36"/>
      <c r="M28" s="36"/>
      <c r="N28" s="36">
        <v>1436</v>
      </c>
      <c r="O28" s="36"/>
      <c r="P28" s="36">
        <v>1436</v>
      </c>
      <c r="Q28" s="45"/>
    </row>
    <row r="29" spans="2:17" ht="4" customHeight="1">
      <c r="B29" s="44"/>
      <c r="C29" s="36"/>
      <c r="D29" s="36"/>
      <c r="E29" s="35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45"/>
    </row>
    <row r="30" spans="2:17" ht="20.25" customHeight="1">
      <c r="B30" s="44"/>
      <c r="C30" s="36"/>
      <c r="D30" s="36"/>
      <c r="E30" s="21" t="s">
        <v>125</v>
      </c>
      <c r="F30" s="16">
        <f>P30/100</f>
        <v>54.16</v>
      </c>
      <c r="G30" s="36"/>
      <c r="H30" s="36"/>
      <c r="I30" s="36"/>
      <c r="J30" s="36"/>
      <c r="K30" s="36"/>
      <c r="L30" s="36"/>
      <c r="M30" s="36"/>
      <c r="N30" s="36">
        <v>5416</v>
      </c>
      <c r="O30" s="36"/>
      <c r="P30" s="36">
        <v>5416</v>
      </c>
      <c r="Q30" s="45"/>
    </row>
    <row r="31" spans="2:17" ht="4" customHeight="1">
      <c r="B31" s="44"/>
      <c r="C31" s="36"/>
      <c r="D31" s="36"/>
      <c r="E31" s="35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45"/>
    </row>
    <row r="32" spans="2:17" ht="20.25" customHeight="1">
      <c r="B32" s="44"/>
      <c r="C32" s="36"/>
      <c r="D32" s="36"/>
      <c r="E32" s="21" t="s">
        <v>126</v>
      </c>
      <c r="F32" s="16">
        <f>P32/100</f>
        <v>20</v>
      </c>
      <c r="G32" s="36"/>
      <c r="H32" s="36"/>
      <c r="I32" s="36"/>
      <c r="J32" s="36"/>
      <c r="K32" s="36"/>
      <c r="L32" s="36"/>
      <c r="M32" s="36"/>
      <c r="N32" s="36">
        <v>2000</v>
      </c>
      <c r="O32" s="36"/>
      <c r="P32" s="36">
        <v>2000</v>
      </c>
      <c r="Q32" s="45"/>
    </row>
    <row r="33" spans="2:17" ht="4" customHeight="1">
      <c r="B33" s="44"/>
      <c r="C33" s="36"/>
      <c r="D33" s="36"/>
      <c r="E33" s="35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45"/>
    </row>
    <row r="34" spans="2:17" ht="4" customHeight="1" thickBot="1">
      <c r="B34" s="47"/>
      <c r="C34" s="48"/>
      <c r="D34" s="48"/>
      <c r="E34" s="49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50"/>
    </row>
    <row r="35" spans="2:17" ht="4" customHeight="1">
      <c r="B35" s="44"/>
      <c r="C35" s="36"/>
      <c r="D35" s="36"/>
      <c r="E35" s="35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45"/>
    </row>
    <row r="36" spans="2:17" ht="20.25" customHeight="1">
      <c r="B36" s="44"/>
      <c r="C36" s="36"/>
      <c r="D36" s="36"/>
      <c r="E36" s="21" t="s">
        <v>51</v>
      </c>
      <c r="F36" s="22">
        <f>O36/1440</f>
        <v>0.5</v>
      </c>
      <c r="G36" s="24"/>
      <c r="H36" s="24"/>
      <c r="I36" s="20">
        <v>2</v>
      </c>
      <c r="J36" s="21" t="s">
        <v>50</v>
      </c>
      <c r="K36" s="22">
        <f>P36/1440</f>
        <v>0.625</v>
      </c>
      <c r="L36" s="24"/>
      <c r="M36" s="24"/>
      <c r="N36" s="20">
        <v>2</v>
      </c>
      <c r="O36" s="36">
        <v>720</v>
      </c>
      <c r="P36" s="36">
        <v>900</v>
      </c>
      <c r="Q36" s="45"/>
    </row>
    <row r="37" spans="2:17" ht="4" customHeight="1">
      <c r="B37" s="44"/>
      <c r="C37" s="36"/>
      <c r="D37" s="36"/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45"/>
    </row>
    <row r="38" spans="2:17" ht="20.25" customHeight="1">
      <c r="B38" s="44"/>
      <c r="C38" s="36"/>
      <c r="D38" s="36"/>
      <c r="E38" s="21" t="s">
        <v>49</v>
      </c>
      <c r="F38" s="16" t="str">
        <f>IF(P38=1,"steady","expon.")</f>
        <v>expon.</v>
      </c>
      <c r="G38" s="24"/>
      <c r="H38" s="24"/>
      <c r="I38" s="20">
        <v>2</v>
      </c>
      <c r="J38" s="36"/>
      <c r="K38" s="36"/>
      <c r="L38" s="36"/>
      <c r="M38" s="36"/>
      <c r="N38" s="36"/>
      <c r="O38" s="36"/>
      <c r="P38" s="36">
        <v>2</v>
      </c>
      <c r="Q38" s="45"/>
    </row>
    <row r="39" spans="2:17" ht="3.75" customHeight="1">
      <c r="B39" s="44"/>
      <c r="C39" s="36"/>
      <c r="D39" s="36"/>
      <c r="E39" s="35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45"/>
    </row>
    <row r="40" spans="2:17" ht="20.25" customHeight="1">
      <c r="B40" s="44"/>
      <c r="C40" s="21" t="s">
        <v>54</v>
      </c>
      <c r="D40" s="22">
        <f>F36</f>
        <v>0.5</v>
      </c>
      <c r="E40" s="24"/>
      <c r="F40" s="21" t="s">
        <v>50</v>
      </c>
      <c r="G40" s="22">
        <f>IF(OR(D42&lt;=D40,D42&gt;$K$36,J42=0),$K$36,D42)</f>
        <v>0.5625</v>
      </c>
      <c r="H40" s="91" t="s">
        <v>53</v>
      </c>
      <c r="I40" s="91"/>
      <c r="J40" s="22">
        <f>M40/86400</f>
        <v>2.476851851851852E-3</v>
      </c>
      <c r="K40" s="24"/>
      <c r="L40" s="24"/>
      <c r="M40" s="24">
        <v>214</v>
      </c>
      <c r="N40" s="20"/>
      <c r="O40" s="20"/>
      <c r="P40" s="20"/>
      <c r="Q40" s="45"/>
    </row>
    <row r="41" spans="2:17" ht="4" customHeight="1">
      <c r="B41" s="44"/>
      <c r="C41" s="36"/>
      <c r="D41" s="36"/>
      <c r="E41" s="35"/>
      <c r="F41" s="36"/>
      <c r="G41" s="36"/>
      <c r="H41" s="91"/>
      <c r="I41" s="91"/>
      <c r="J41" s="29"/>
      <c r="K41" s="36"/>
      <c r="L41" s="36"/>
      <c r="M41" s="36"/>
      <c r="N41" s="20"/>
      <c r="O41" s="20"/>
      <c r="P41" s="20"/>
      <c r="Q41" s="45"/>
    </row>
    <row r="42" spans="2:17" ht="20.25" customHeight="1">
      <c r="B42" s="44"/>
      <c r="C42" s="21" t="s">
        <v>55</v>
      </c>
      <c r="D42" s="22">
        <f>E42/1440</f>
        <v>0.5625</v>
      </c>
      <c r="E42" s="24">
        <v>810</v>
      </c>
      <c r="F42" s="21" t="s">
        <v>50</v>
      </c>
      <c r="G42" s="22">
        <f>IF(OR(D44&lt;=D42,D44&gt;$K$36,J44=0),$K$36,D44)</f>
        <v>0.625</v>
      </c>
      <c r="H42" s="91" t="s">
        <v>53</v>
      </c>
      <c r="I42" s="91"/>
      <c r="J42" s="22">
        <f>M42/86400</f>
        <v>3.7268518518518519E-3</v>
      </c>
      <c r="K42" s="24"/>
      <c r="L42" s="24"/>
      <c r="M42" s="24">
        <v>322</v>
      </c>
      <c r="N42" s="20">
        <f>IF(G40=$K$36,1,0)</f>
        <v>0</v>
      </c>
      <c r="O42" s="20"/>
      <c r="P42" s="20"/>
      <c r="Q42" s="45"/>
    </row>
    <row r="43" spans="2:17" ht="4" customHeight="1">
      <c r="B43" s="44"/>
      <c r="C43" s="36"/>
      <c r="D43" s="36"/>
      <c r="E43" s="35"/>
      <c r="F43" s="36"/>
      <c r="G43" s="36"/>
      <c r="H43" s="91"/>
      <c r="I43" s="91"/>
      <c r="J43" s="29"/>
      <c r="K43" s="36"/>
      <c r="L43" s="36"/>
      <c r="M43" s="36"/>
      <c r="N43" s="20"/>
      <c r="O43" s="20"/>
      <c r="P43" s="20"/>
      <c r="Q43" s="45"/>
    </row>
    <row r="44" spans="2:17" ht="20.25" customHeight="1">
      <c r="B44" s="44"/>
      <c r="C44" s="21" t="s">
        <v>56</v>
      </c>
      <c r="D44" s="22">
        <f>E44/1440</f>
        <v>0.70833333333333337</v>
      </c>
      <c r="E44" s="24">
        <v>1020</v>
      </c>
      <c r="F44" s="21" t="s">
        <v>50</v>
      </c>
      <c r="G44" s="22">
        <f>IF(OR(D46&lt;=D44,D46&gt;$K$36,J46=0),$K$36,D46)</f>
        <v>0.625</v>
      </c>
      <c r="H44" s="91" t="s">
        <v>53</v>
      </c>
      <c r="I44" s="91"/>
      <c r="J44" s="22">
        <f>M44/86400</f>
        <v>6.9444444444444447E-4</v>
      </c>
      <c r="K44" s="24"/>
      <c r="L44" s="24"/>
      <c r="M44" s="24">
        <v>60</v>
      </c>
      <c r="N44" s="20">
        <f>IF(OR(G42=$K$36,N42=1),1,0)</f>
        <v>1</v>
      </c>
      <c r="O44" s="20"/>
      <c r="P44" s="20"/>
      <c r="Q44" s="45"/>
    </row>
    <row r="45" spans="2:17" ht="4" customHeight="1">
      <c r="B45" s="44"/>
      <c r="C45" s="36"/>
      <c r="D45" s="36"/>
      <c r="E45" s="35"/>
      <c r="F45" s="36"/>
      <c r="G45" s="36"/>
      <c r="H45" s="91"/>
      <c r="I45" s="91"/>
      <c r="J45" s="29"/>
      <c r="K45" s="36"/>
      <c r="L45" s="36"/>
      <c r="M45" s="36"/>
      <c r="N45" s="20"/>
      <c r="O45" s="20"/>
      <c r="P45" s="20"/>
      <c r="Q45" s="45"/>
    </row>
    <row r="46" spans="2:17" ht="20.25" customHeight="1">
      <c r="B46" s="44"/>
      <c r="C46" s="21" t="s">
        <v>57</v>
      </c>
      <c r="D46" s="22">
        <f>E46/1440</f>
        <v>0.77083333333333337</v>
      </c>
      <c r="E46" s="24">
        <v>1110</v>
      </c>
      <c r="F46" s="21" t="s">
        <v>50</v>
      </c>
      <c r="G46" s="22">
        <f>IF(OR(D48&lt;=D46,D48&gt;$K$36,J48=0),$K$36,D48)</f>
        <v>0.625</v>
      </c>
      <c r="H46" s="91" t="s">
        <v>53</v>
      </c>
      <c r="I46" s="91"/>
      <c r="J46" s="22">
        <f>M46/86400</f>
        <v>1.3888888888888889E-3</v>
      </c>
      <c r="K46" s="24"/>
      <c r="L46" s="24"/>
      <c r="M46" s="24">
        <v>120</v>
      </c>
      <c r="N46" s="20">
        <f>IF(OR(G44=$K$36,N44=1),1,0)</f>
        <v>1</v>
      </c>
      <c r="O46" s="20"/>
      <c r="P46" s="20"/>
      <c r="Q46" s="45"/>
    </row>
    <row r="47" spans="2:17" ht="4" customHeight="1">
      <c r="B47" s="44"/>
      <c r="C47" s="36"/>
      <c r="D47" s="36"/>
      <c r="E47" s="35"/>
      <c r="F47" s="36"/>
      <c r="G47" s="36"/>
      <c r="H47" s="91"/>
      <c r="I47" s="91"/>
      <c r="J47" s="29"/>
      <c r="K47" s="36"/>
      <c r="L47" s="36"/>
      <c r="M47" s="36"/>
      <c r="N47" s="20"/>
      <c r="O47" s="20"/>
      <c r="P47" s="20"/>
      <c r="Q47" s="45"/>
    </row>
    <row r="48" spans="2:17" ht="20.25" customHeight="1">
      <c r="B48" s="44"/>
      <c r="C48" s="21" t="s">
        <v>58</v>
      </c>
      <c r="D48" s="22">
        <f>E48/1440</f>
        <v>0.79513888888888884</v>
      </c>
      <c r="E48" s="24">
        <v>1145</v>
      </c>
      <c r="F48" s="21" t="s">
        <v>50</v>
      </c>
      <c r="G48" s="22">
        <f>IF(OR(D50&lt;=D48,D50&gt;$K$36,J50=0),$K$36,D50)</f>
        <v>0.625</v>
      </c>
      <c r="H48" s="91" t="s">
        <v>53</v>
      </c>
      <c r="I48" s="91"/>
      <c r="J48" s="22">
        <f>M48/86400</f>
        <v>1.1574074074074073E-5</v>
      </c>
      <c r="K48" s="24"/>
      <c r="L48" s="24"/>
      <c r="M48" s="24">
        <v>1</v>
      </c>
      <c r="N48" s="20">
        <f>IF(OR(G46=$K$36,N46=1),1,0)</f>
        <v>1</v>
      </c>
      <c r="O48" s="20"/>
      <c r="P48" s="20"/>
      <c r="Q48" s="45"/>
    </row>
    <row r="49" spans="2:17" ht="4" customHeight="1">
      <c r="B49" s="44"/>
      <c r="C49" s="36"/>
      <c r="D49" s="36"/>
      <c r="E49" s="35"/>
      <c r="F49" s="36"/>
      <c r="G49" s="36"/>
      <c r="H49" s="91"/>
      <c r="I49" s="91"/>
      <c r="J49" s="29"/>
      <c r="K49" s="36"/>
      <c r="L49" s="36"/>
      <c r="M49" s="36"/>
      <c r="N49" s="20"/>
      <c r="O49" s="20"/>
      <c r="P49" s="20"/>
      <c r="Q49" s="45"/>
    </row>
    <row r="50" spans="2:17" ht="20.25" customHeight="1">
      <c r="B50" s="44"/>
      <c r="C50" s="21" t="s">
        <v>59</v>
      </c>
      <c r="D50" s="22">
        <f>E50/1440</f>
        <v>0.83402777777777781</v>
      </c>
      <c r="E50" s="24">
        <v>1201</v>
      </c>
      <c r="F50" s="21" t="s">
        <v>50</v>
      </c>
      <c r="G50" s="22">
        <f>IF(OR(D52&lt;=D50,D52&gt;$K$36,J52=0),$K$36,D52)</f>
        <v>0.625</v>
      </c>
      <c r="H50" s="91" t="s">
        <v>53</v>
      </c>
      <c r="I50" s="91"/>
      <c r="J50" s="22">
        <f>M50/86400</f>
        <v>1.1574074074074073E-5</v>
      </c>
      <c r="K50" s="24"/>
      <c r="L50" s="24"/>
      <c r="M50" s="24">
        <v>1</v>
      </c>
      <c r="N50" s="20">
        <f>IF(OR(G48=$K$36,N48=1),1,0)</f>
        <v>1</v>
      </c>
      <c r="O50" s="20"/>
      <c r="P50" s="20"/>
      <c r="Q50" s="45"/>
    </row>
    <row r="51" spans="2:17" ht="4" customHeight="1">
      <c r="B51" s="44"/>
      <c r="C51" s="36"/>
      <c r="D51" s="36"/>
      <c r="E51" s="35"/>
      <c r="F51" s="36"/>
      <c r="G51" s="36"/>
      <c r="H51" s="91"/>
      <c r="I51" s="91"/>
      <c r="J51" s="29"/>
      <c r="K51" s="36"/>
      <c r="L51" s="36"/>
      <c r="M51" s="36"/>
      <c r="N51" s="20"/>
      <c r="O51" s="20"/>
      <c r="P51" s="20"/>
      <c r="Q51" s="45"/>
    </row>
    <row r="52" spans="2:17" ht="20.25" customHeight="1">
      <c r="B52" s="44"/>
      <c r="C52" s="21" t="s">
        <v>60</v>
      </c>
      <c r="D52" s="22">
        <f>E52/1440</f>
        <v>0.9458333333333333</v>
      </c>
      <c r="E52" s="24">
        <v>1362</v>
      </c>
      <c r="F52" s="21" t="s">
        <v>50</v>
      </c>
      <c r="G52" s="22">
        <f>IF(OR(D54&lt;=D52,D54&gt;$K$36,J54=0),$K$36,D54)</f>
        <v>0.625</v>
      </c>
      <c r="H52" s="91" t="s">
        <v>53</v>
      </c>
      <c r="I52" s="91"/>
      <c r="J52" s="22">
        <f>M52/86400</f>
        <v>4.6296296296296294E-5</v>
      </c>
      <c r="K52" s="24"/>
      <c r="L52" s="24"/>
      <c r="M52" s="24">
        <v>4</v>
      </c>
      <c r="N52" s="20">
        <f>IF(OR(G50=$K$36,N50=1),1,0)</f>
        <v>1</v>
      </c>
      <c r="O52" s="20"/>
      <c r="P52" s="20"/>
      <c r="Q52" s="45"/>
    </row>
    <row r="53" spans="2:17" ht="4" customHeight="1">
      <c r="B53" s="44"/>
      <c r="C53" s="36"/>
      <c r="D53" s="36"/>
      <c r="E53" s="35"/>
      <c r="F53" s="36"/>
      <c r="G53" s="36"/>
      <c r="H53" s="91"/>
      <c r="I53" s="91"/>
      <c r="J53" s="29"/>
      <c r="K53" s="36"/>
      <c r="L53" s="36"/>
      <c r="M53" s="36"/>
      <c r="N53" s="20"/>
      <c r="O53" s="20"/>
      <c r="P53" s="20"/>
      <c r="Q53" s="45"/>
    </row>
    <row r="54" spans="2:17" ht="20.25" customHeight="1">
      <c r="B54" s="44"/>
      <c r="C54" s="21" t="s">
        <v>61</v>
      </c>
      <c r="D54" s="22">
        <f>E54/1440</f>
        <v>0.99930555555555556</v>
      </c>
      <c r="E54" s="24">
        <v>1439</v>
      </c>
      <c r="F54" s="21" t="s">
        <v>50</v>
      </c>
      <c r="G54" s="22">
        <f>IF(OR(D56&lt;=D54,D56&gt;$K$36,J56=0),$K$36,D56)</f>
        <v>0.625</v>
      </c>
      <c r="H54" s="91" t="s">
        <v>53</v>
      </c>
      <c r="I54" s="91"/>
      <c r="J54" s="22">
        <f>M54/86400</f>
        <v>1.1574074074074073E-5</v>
      </c>
      <c r="K54" s="24"/>
      <c r="L54" s="24"/>
      <c r="M54" s="24">
        <v>1</v>
      </c>
      <c r="N54" s="20">
        <f>IF(OR(G52=$K$36,N52=1),1,0)</f>
        <v>1</v>
      </c>
      <c r="O54" s="20"/>
      <c r="P54" s="20"/>
      <c r="Q54" s="45"/>
    </row>
    <row r="55" spans="2:17" ht="4" customHeight="1">
      <c r="B55" s="44"/>
      <c r="C55" s="36"/>
      <c r="D55" s="36"/>
      <c r="E55" s="35"/>
      <c r="F55" s="36"/>
      <c r="G55" s="36"/>
      <c r="H55" s="91"/>
      <c r="I55" s="91"/>
      <c r="J55" s="29"/>
      <c r="K55" s="20"/>
      <c r="L55" s="20"/>
      <c r="M55" s="36"/>
      <c r="N55" s="36"/>
      <c r="O55" s="36"/>
      <c r="P55" s="36"/>
      <c r="Q55" s="45"/>
    </row>
    <row r="56" spans="2:17" ht="4" customHeight="1" thickBot="1">
      <c r="B56" s="47"/>
      <c r="C56" s="48"/>
      <c r="D56" s="48"/>
      <c r="E56" s="49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50"/>
    </row>
    <row r="57" spans="2:17" ht="4" customHeight="1">
      <c r="B57" s="44"/>
      <c r="C57" s="36"/>
      <c r="D57" s="36"/>
      <c r="E57" s="35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45"/>
    </row>
    <row r="58" spans="2:17" ht="20.25" customHeight="1">
      <c r="B58" s="44"/>
      <c r="C58" s="21" t="s">
        <v>65</v>
      </c>
      <c r="D58" s="25">
        <f>IF($F$12=1,1,O58/10000)</f>
        <v>1</v>
      </c>
      <c r="E58" s="24"/>
      <c r="F58" s="36"/>
      <c r="G58" s="36"/>
      <c r="H58" s="36"/>
      <c r="I58" s="21" t="s">
        <v>74</v>
      </c>
      <c r="J58" s="25">
        <f>IF($F$12=2,1-D58,IF($F$12&gt;2,MIN(1-D58,P58/10000),0))</f>
        <v>0</v>
      </c>
      <c r="K58" s="24"/>
      <c r="L58" s="36"/>
      <c r="M58" s="36"/>
      <c r="N58" s="36"/>
      <c r="O58" s="36">
        <v>2000</v>
      </c>
      <c r="P58" s="36">
        <v>2000</v>
      </c>
      <c r="Q58" s="45"/>
    </row>
    <row r="59" spans="2:17" ht="4" customHeight="1">
      <c r="B59" s="44"/>
      <c r="C59" s="36"/>
      <c r="D59" s="36"/>
      <c r="E59" s="35"/>
      <c r="F59" s="36"/>
      <c r="G59" s="36"/>
      <c r="H59" s="36"/>
      <c r="I59" s="36"/>
      <c r="J59" s="36"/>
      <c r="K59" s="36"/>
      <c r="L59" s="36"/>
      <c r="M59" s="36"/>
      <c r="N59" s="36"/>
      <c r="O59" s="51"/>
      <c r="P59" s="51"/>
      <c r="Q59" s="45"/>
    </row>
    <row r="60" spans="2:17" ht="20.25" customHeight="1">
      <c r="B60" s="44"/>
      <c r="C60" s="21" t="s">
        <v>66</v>
      </c>
      <c r="D60" s="25">
        <f>IF($F$12=3,1-D58-J58,IF($F$12&gt;3,MIN(1-D58-J58,O60/10000),0))</f>
        <v>0</v>
      </c>
      <c r="E60" s="24"/>
      <c r="F60" s="36"/>
      <c r="G60" s="36"/>
      <c r="H60" s="36"/>
      <c r="I60" s="21" t="s">
        <v>73</v>
      </c>
      <c r="J60" s="25">
        <f>IF($F$12=4,1-D58-J58-D60,IF($F$12&gt;4,MIN(1-D58-J58-D60,P60/10000),0))</f>
        <v>0</v>
      </c>
      <c r="K60" s="24"/>
      <c r="L60" s="36"/>
      <c r="M60" s="36"/>
      <c r="N60" s="36"/>
      <c r="O60" s="36">
        <v>1000</v>
      </c>
      <c r="P60" s="36">
        <v>1000</v>
      </c>
      <c r="Q60" s="45"/>
    </row>
    <row r="61" spans="2:17" ht="4" customHeight="1">
      <c r="B61" s="44"/>
      <c r="C61" s="36"/>
      <c r="D61" s="36"/>
      <c r="E61" s="35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45"/>
    </row>
    <row r="62" spans="2:17" ht="20.25" customHeight="1">
      <c r="B62" s="44"/>
      <c r="C62" s="21" t="s">
        <v>67</v>
      </c>
      <c r="D62" s="25">
        <f>IF($F$12=5,1-D58-J58-D60-J60,IF($F$12&gt;5,MIN(1-D58-J58-D60-J60,O62/10000),0))</f>
        <v>0</v>
      </c>
      <c r="E62" s="24"/>
      <c r="F62" s="36"/>
      <c r="G62" s="36"/>
      <c r="H62" s="36"/>
      <c r="I62" s="21" t="s">
        <v>72</v>
      </c>
      <c r="J62" s="25">
        <f>IF($F$12=6,1-D58-J58-D60-J60-D62,IF($F$12&gt;6,MIN(1-D58-J58-D60-J60-D62,P62/10000),0))</f>
        <v>0</v>
      </c>
      <c r="K62" s="24"/>
      <c r="L62" s="36"/>
      <c r="M62" s="36"/>
      <c r="N62" s="36"/>
      <c r="O62" s="36">
        <v>1000</v>
      </c>
      <c r="P62" s="36">
        <v>1000</v>
      </c>
      <c r="Q62" s="45"/>
    </row>
    <row r="63" spans="2:17" ht="4" customHeight="1">
      <c r="B63" s="44"/>
      <c r="C63" s="36"/>
      <c r="D63" s="36"/>
      <c r="E63" s="35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45"/>
    </row>
    <row r="64" spans="2:17" ht="20.25" customHeight="1">
      <c r="B64" s="44"/>
      <c r="C64" s="21" t="s">
        <v>68</v>
      </c>
      <c r="D64" s="25">
        <f>IF($F$12=7,1-D58-J58-D60-J60-D62-J62,IF($F$12&gt;7,MIN(1-D58-J58-D60-J60-D62-J62,O64/10000),0))</f>
        <v>0</v>
      </c>
      <c r="E64" s="24"/>
      <c r="F64" s="36"/>
      <c r="G64" s="36"/>
      <c r="H64" s="36"/>
      <c r="I64" s="21" t="s">
        <v>71</v>
      </c>
      <c r="J64" s="25">
        <f>IF($F$12=8,1-D58-J58-D60-J60-D62-J62-D64,IF($F$12&gt;8,MIN(1-D58-J58-D60-J60-D62-J62-D64,P64/10000),0))</f>
        <v>0</v>
      </c>
      <c r="K64" s="24"/>
      <c r="L64" s="36"/>
      <c r="M64" s="36"/>
      <c r="N64" s="36"/>
      <c r="O64" s="36">
        <v>500</v>
      </c>
      <c r="P64" s="36">
        <v>500</v>
      </c>
      <c r="Q64" s="45"/>
    </row>
    <row r="65" spans="2:17" ht="4" customHeight="1">
      <c r="B65" s="44"/>
      <c r="C65" s="36"/>
      <c r="D65" s="36"/>
      <c r="E65" s="35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45"/>
    </row>
    <row r="66" spans="2:17" ht="20.25" customHeight="1">
      <c r="B66" s="44"/>
      <c r="C66" s="21" t="s">
        <v>69</v>
      </c>
      <c r="D66" s="25">
        <f>IF($F$12=9,1-D58-J58-D60-J60-D62-J62-D64-J64,IF($F$12&gt;9,MIN(1-D58-J58-D60-J60-D62-J62-D64-J64,O66/10000),0))</f>
        <v>0</v>
      </c>
      <c r="E66" s="24"/>
      <c r="F66" s="36"/>
      <c r="G66" s="36"/>
      <c r="H66" s="36"/>
      <c r="I66" s="21" t="s">
        <v>70</v>
      </c>
      <c r="J66" s="25">
        <f>IF($F$12=10,1-D58-J58-D60-J60-D62-J62-D64-J64-D66,0)</f>
        <v>0</v>
      </c>
      <c r="K66" s="24"/>
      <c r="L66" s="36"/>
      <c r="M66" s="36"/>
      <c r="N66" s="36"/>
      <c r="O66" s="36">
        <v>500</v>
      </c>
      <c r="P66" s="36"/>
      <c r="Q66" s="45"/>
    </row>
    <row r="67" spans="2:17" ht="4" customHeight="1" thickBot="1">
      <c r="B67" s="47"/>
      <c r="C67" s="48"/>
      <c r="D67" s="48"/>
      <c r="E67" s="49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50"/>
    </row>
    <row r="68" spans="2:17" ht="4" customHeight="1">
      <c r="B68" s="44"/>
      <c r="C68" s="36"/>
      <c r="D68" s="36"/>
      <c r="E68" s="35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45"/>
    </row>
    <row r="69" spans="2:17" ht="20.25" customHeight="1">
      <c r="B69" s="44"/>
      <c r="C69" s="36"/>
      <c r="D69" s="36"/>
      <c r="E69" s="21" t="s">
        <v>62</v>
      </c>
      <c r="F69" s="16">
        <v>3</v>
      </c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45"/>
    </row>
    <row r="70" spans="2:17" ht="4" customHeight="1">
      <c r="B70" s="44"/>
      <c r="C70" s="36"/>
      <c r="D70" s="36"/>
      <c r="E70" s="35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45"/>
    </row>
    <row r="71" spans="2:17" ht="20.25" customHeight="1">
      <c r="B71" s="44"/>
      <c r="C71" s="36"/>
      <c r="D71" s="36"/>
      <c r="E71" s="21" t="s">
        <v>63</v>
      </c>
      <c r="F71" s="16">
        <f>IF(P71&gt;0,P71,"random")</f>
        <v>3990</v>
      </c>
      <c r="G71" s="36"/>
      <c r="H71" s="36"/>
      <c r="I71" s="36"/>
      <c r="J71" s="36"/>
      <c r="K71" s="36"/>
      <c r="L71" s="36"/>
      <c r="M71" s="36"/>
      <c r="N71" s="36"/>
      <c r="O71" s="36"/>
      <c r="P71" s="36">
        <v>3990</v>
      </c>
      <c r="Q71" s="45"/>
    </row>
    <row r="72" spans="2:17" ht="4" customHeight="1" thickBot="1">
      <c r="B72" s="47"/>
      <c r="C72" s="48"/>
      <c r="D72" s="48"/>
      <c r="E72" s="49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50"/>
    </row>
    <row r="73" spans="2:17"/>
  </sheetData>
  <sheetProtection password="F91E" sheet="1" objects="1" scenarios="1" selectLockedCells="1" selectUnlockedCells="1"/>
  <mergeCells count="9">
    <mergeCell ref="H52:I53"/>
    <mergeCell ref="H54:I55"/>
    <mergeCell ref="H46:I47"/>
    <mergeCell ref="B2:Q2"/>
    <mergeCell ref="H44:I45"/>
    <mergeCell ref="H42:I43"/>
    <mergeCell ref="H40:I41"/>
    <mergeCell ref="H48:I49"/>
    <mergeCell ref="H50:I51"/>
  </mergeCells>
  <conditionalFormatting sqref="K4">
    <cfRule type="expression" dxfId="317" priority="712">
      <formula>$G$6=1</formula>
    </cfRule>
  </conditionalFormatting>
  <conditionalFormatting sqref="D42 J42">
    <cfRule type="expression" dxfId="316" priority="403">
      <formula>$G42&gt;$K$36</formula>
    </cfRule>
    <cfRule type="expression" dxfId="315" priority="404">
      <formula>$D42&lt;=$D40</formula>
    </cfRule>
    <cfRule type="expression" dxfId="314" priority="405">
      <formula>$G42&lt;=$D42</formula>
    </cfRule>
    <cfRule type="expression" dxfId="313" priority="406">
      <formula>$J42=0</formula>
    </cfRule>
  </conditionalFormatting>
  <conditionalFormatting sqref="D44">
    <cfRule type="expression" dxfId="312" priority="399">
      <formula>$G44&gt;$K$36</formula>
    </cfRule>
    <cfRule type="expression" dxfId="311" priority="400">
      <formula>$D44&lt;$D42</formula>
    </cfRule>
    <cfRule type="expression" dxfId="310" priority="401">
      <formula>$G44&lt;=$D44</formula>
    </cfRule>
    <cfRule type="expression" dxfId="309" priority="402">
      <formula>$J44=0</formula>
    </cfRule>
  </conditionalFormatting>
  <conditionalFormatting sqref="D46">
    <cfRule type="expression" dxfId="308" priority="395">
      <formula>$G46&gt;$K$36</formula>
    </cfRule>
    <cfRule type="expression" dxfId="307" priority="396">
      <formula>$D46&lt;$D44</formula>
    </cfRule>
    <cfRule type="expression" dxfId="306" priority="397">
      <formula>$G46&lt;=$D46</formula>
    </cfRule>
    <cfRule type="expression" dxfId="305" priority="398">
      <formula>$J46=0</formula>
    </cfRule>
  </conditionalFormatting>
  <conditionalFormatting sqref="D48">
    <cfRule type="expression" dxfId="304" priority="391">
      <formula>$G48&gt;$K$36</formula>
    </cfRule>
    <cfRule type="expression" dxfId="303" priority="392">
      <formula>$D48&lt;$D46</formula>
    </cfRule>
    <cfRule type="expression" dxfId="302" priority="393">
      <formula>$G48&lt;=$D48</formula>
    </cfRule>
    <cfRule type="expression" dxfId="301" priority="394">
      <formula>$J48=0</formula>
    </cfRule>
  </conditionalFormatting>
  <conditionalFormatting sqref="D50">
    <cfRule type="expression" dxfId="300" priority="387">
      <formula>$G50&gt;$K$36</formula>
    </cfRule>
    <cfRule type="expression" dxfId="299" priority="388">
      <formula>$D50&lt;$D48</formula>
    </cfRule>
    <cfRule type="expression" dxfId="298" priority="389">
      <formula>$G50&lt;=$D50</formula>
    </cfRule>
    <cfRule type="expression" dxfId="297" priority="390">
      <formula>$J50=0</formula>
    </cfRule>
  </conditionalFormatting>
  <conditionalFormatting sqref="D52">
    <cfRule type="expression" dxfId="296" priority="383">
      <formula>$G52&gt;$K$36</formula>
    </cfRule>
    <cfRule type="expression" dxfId="295" priority="384">
      <formula>$D52&lt;$D50</formula>
    </cfRule>
    <cfRule type="expression" dxfId="294" priority="385">
      <formula>$G52&lt;=$D52</formula>
    </cfRule>
    <cfRule type="expression" dxfId="293" priority="386">
      <formula>$J52=0</formula>
    </cfRule>
  </conditionalFormatting>
  <conditionalFormatting sqref="D54">
    <cfRule type="expression" dxfId="292" priority="379">
      <formula>$G54&gt;$K$36</formula>
    </cfRule>
    <cfRule type="expression" dxfId="291" priority="380">
      <formula>$D54&lt;$D52</formula>
    </cfRule>
    <cfRule type="expression" dxfId="290" priority="381">
      <formula>$G54&lt;=$D54</formula>
    </cfRule>
    <cfRule type="expression" dxfId="289" priority="382">
      <formula>$J54=0</formula>
    </cfRule>
  </conditionalFormatting>
  <conditionalFormatting sqref="J44">
    <cfRule type="expression" dxfId="288" priority="351">
      <formula>$G44&gt;$K$36</formula>
    </cfRule>
    <cfRule type="expression" dxfId="287" priority="352">
      <formula>$D44&lt;$D42</formula>
    </cfRule>
    <cfRule type="expression" dxfId="286" priority="353">
      <formula>$G44&lt;=$D44</formula>
    </cfRule>
    <cfRule type="expression" dxfId="285" priority="354">
      <formula>$J44=0</formula>
    </cfRule>
  </conditionalFormatting>
  <conditionalFormatting sqref="J46">
    <cfRule type="expression" dxfId="284" priority="347">
      <formula>$G46&gt;$K$36</formula>
    </cfRule>
    <cfRule type="expression" dxfId="283" priority="348">
      <formula>$D46&lt;$D44</formula>
    </cfRule>
    <cfRule type="expression" dxfId="282" priority="349">
      <formula>$G46&lt;=$D46</formula>
    </cfRule>
    <cfRule type="expression" dxfId="281" priority="350">
      <formula>$J46=0</formula>
    </cfRule>
  </conditionalFormatting>
  <conditionalFormatting sqref="J48">
    <cfRule type="expression" dxfId="280" priority="343">
      <formula>$G48&gt;$K$36</formula>
    </cfRule>
    <cfRule type="expression" dxfId="279" priority="344">
      <formula>$D48&lt;$D46</formula>
    </cfRule>
    <cfRule type="expression" dxfId="278" priority="345">
      <formula>$G48&lt;=$D48</formula>
    </cfRule>
    <cfRule type="expression" dxfId="277" priority="346">
      <formula>$J48=0</formula>
    </cfRule>
  </conditionalFormatting>
  <conditionalFormatting sqref="J50">
    <cfRule type="expression" dxfId="276" priority="339">
      <formula>$G50&gt;$K$36</formula>
    </cfRule>
    <cfRule type="expression" dxfId="275" priority="340">
      <formula>$D50&lt;$D48</formula>
    </cfRule>
    <cfRule type="expression" dxfId="274" priority="341">
      <formula>$G50&lt;=$D50</formula>
    </cfRule>
    <cfRule type="expression" dxfId="273" priority="342">
      <formula>$J50=0</formula>
    </cfRule>
  </conditionalFormatting>
  <conditionalFormatting sqref="J52">
    <cfRule type="expression" dxfId="272" priority="335">
      <formula>$G52&gt;$K$36</formula>
    </cfRule>
    <cfRule type="expression" dxfId="271" priority="336">
      <formula>$D52&lt;$D50</formula>
    </cfRule>
    <cfRule type="expression" dxfId="270" priority="337">
      <formula>$G52&lt;=$D52</formula>
    </cfRule>
    <cfRule type="expression" dxfId="269" priority="338">
      <formula>$J52=0</formula>
    </cfRule>
  </conditionalFormatting>
  <conditionalFormatting sqref="J54">
    <cfRule type="expression" dxfId="268" priority="331">
      <formula>$G54&gt;$K$36</formula>
    </cfRule>
    <cfRule type="expression" dxfId="267" priority="332">
      <formula>$D54&lt;$D52</formula>
    </cfRule>
    <cfRule type="expression" dxfId="266" priority="333">
      <formula>$G54&lt;=$D54</formula>
    </cfRule>
    <cfRule type="expression" dxfId="265" priority="334">
      <formula>$J54=0</formula>
    </cfRule>
  </conditionalFormatting>
  <conditionalFormatting sqref="D44">
    <cfRule type="expression" dxfId="264" priority="327">
      <formula>$G44&gt;$K$36</formula>
    </cfRule>
    <cfRule type="expression" dxfId="263" priority="328">
      <formula>$D44&lt;=$D42</formula>
    </cfRule>
    <cfRule type="expression" dxfId="262" priority="329">
      <formula>$G44&lt;=$D44</formula>
    </cfRule>
    <cfRule type="expression" dxfId="261" priority="330">
      <formula>$J44=0</formula>
    </cfRule>
  </conditionalFormatting>
  <conditionalFormatting sqref="D46">
    <cfRule type="expression" dxfId="260" priority="323">
      <formula>$G46&gt;$K$36</formula>
    </cfRule>
    <cfRule type="expression" dxfId="259" priority="324">
      <formula>$D46&lt;=$D44</formula>
    </cfRule>
    <cfRule type="expression" dxfId="258" priority="325">
      <formula>$G46&lt;=$D46</formula>
    </cfRule>
    <cfRule type="expression" dxfId="257" priority="326">
      <formula>$J46=0</formula>
    </cfRule>
  </conditionalFormatting>
  <conditionalFormatting sqref="D48">
    <cfRule type="expression" dxfId="256" priority="319">
      <formula>$G48&gt;$K$36</formula>
    </cfRule>
    <cfRule type="expression" dxfId="255" priority="320">
      <formula>$D48&lt;=$D46</formula>
    </cfRule>
    <cfRule type="expression" dxfId="254" priority="321">
      <formula>$G48&lt;=$D48</formula>
    </cfRule>
    <cfRule type="expression" dxfId="253" priority="322">
      <formula>$J48=0</formula>
    </cfRule>
  </conditionalFormatting>
  <conditionalFormatting sqref="D50">
    <cfRule type="expression" dxfId="252" priority="315">
      <formula>$G50&gt;$K$36</formula>
    </cfRule>
    <cfRule type="expression" dxfId="251" priority="316">
      <formula>$D50&lt;=$D48</formula>
    </cfRule>
    <cfRule type="expression" dxfId="250" priority="317">
      <formula>$G50&lt;=$D50</formula>
    </cfRule>
    <cfRule type="expression" dxfId="249" priority="318">
      <formula>$J50=0</formula>
    </cfRule>
  </conditionalFormatting>
  <conditionalFormatting sqref="D52">
    <cfRule type="expression" dxfId="248" priority="311">
      <formula>$G52&gt;$K$36</formula>
    </cfRule>
    <cfRule type="expression" dxfId="247" priority="312">
      <formula>$D52&lt;=$D50</formula>
    </cfRule>
    <cfRule type="expression" dxfId="246" priority="313">
      <formula>$G52&lt;=$D52</formula>
    </cfRule>
    <cfRule type="expression" dxfId="245" priority="314">
      <formula>$J52=0</formula>
    </cfRule>
  </conditionalFormatting>
  <conditionalFormatting sqref="D54">
    <cfRule type="expression" dxfId="244" priority="307">
      <formula>$G54&gt;$K$36</formula>
    </cfRule>
    <cfRule type="expression" dxfId="243" priority="308">
      <formula>$D54&lt;=$D52</formula>
    </cfRule>
    <cfRule type="expression" dxfId="242" priority="309">
      <formula>$G54&lt;=$D54</formula>
    </cfRule>
    <cfRule type="expression" dxfId="241" priority="310">
      <formula>$J54=0</formula>
    </cfRule>
  </conditionalFormatting>
  <conditionalFormatting sqref="J44">
    <cfRule type="expression" dxfId="240" priority="303">
      <formula>$G44&gt;$K$36</formula>
    </cfRule>
    <cfRule type="expression" dxfId="239" priority="304">
      <formula>$D44&lt;=$D42</formula>
    </cfRule>
    <cfRule type="expression" dxfId="238" priority="305">
      <formula>$G44&lt;=$D44</formula>
    </cfRule>
    <cfRule type="expression" dxfId="237" priority="306">
      <formula>$J44=0</formula>
    </cfRule>
  </conditionalFormatting>
  <conditionalFormatting sqref="J46">
    <cfRule type="expression" dxfId="236" priority="299">
      <formula>$G46&gt;$K$36</formula>
    </cfRule>
    <cfRule type="expression" dxfId="235" priority="300">
      <formula>$D46&lt;=$D44</formula>
    </cfRule>
    <cfRule type="expression" dxfId="234" priority="301">
      <formula>$G46&lt;=$D46</formula>
    </cfRule>
    <cfRule type="expression" dxfId="233" priority="302">
      <formula>$J46=0</formula>
    </cfRule>
  </conditionalFormatting>
  <conditionalFormatting sqref="J48">
    <cfRule type="expression" dxfId="232" priority="295">
      <formula>$G48&gt;$K$36</formula>
    </cfRule>
    <cfRule type="expression" dxfId="231" priority="296">
      <formula>$D48&lt;=$D46</formula>
    </cfRule>
    <cfRule type="expression" dxfId="230" priority="297">
      <formula>$G48&lt;=$D48</formula>
    </cfRule>
    <cfRule type="expression" dxfId="229" priority="298">
      <formula>$J48=0</formula>
    </cfRule>
  </conditionalFormatting>
  <conditionalFormatting sqref="J50">
    <cfRule type="expression" dxfId="228" priority="291">
      <formula>$G50&gt;$K$36</formula>
    </cfRule>
    <cfRule type="expression" dxfId="227" priority="292">
      <formula>$D50&lt;=$D48</formula>
    </cfRule>
    <cfRule type="expression" dxfId="226" priority="293">
      <formula>$G50&lt;=$D50</formula>
    </cfRule>
    <cfRule type="expression" dxfId="225" priority="294">
      <formula>$J50=0</formula>
    </cfRule>
  </conditionalFormatting>
  <conditionalFormatting sqref="J52">
    <cfRule type="expression" dxfId="224" priority="287">
      <formula>$G52&gt;$K$36</formula>
    </cfRule>
    <cfRule type="expression" dxfId="223" priority="288">
      <formula>$D52&lt;=$D50</formula>
    </cfRule>
    <cfRule type="expression" dxfId="222" priority="289">
      <formula>$G52&lt;=$D52</formula>
    </cfRule>
    <cfRule type="expression" dxfId="221" priority="290">
      <formula>$J52=0</formula>
    </cfRule>
  </conditionalFormatting>
  <conditionalFormatting sqref="J54">
    <cfRule type="expression" dxfId="220" priority="283">
      <formula>$G54&gt;$K$36</formula>
    </cfRule>
    <cfRule type="expression" dxfId="219" priority="284">
      <formula>$D54&lt;=$D52</formula>
    </cfRule>
    <cfRule type="expression" dxfId="218" priority="285">
      <formula>$G54&lt;=$D54</formula>
    </cfRule>
    <cfRule type="expression" dxfId="217" priority="286">
      <formula>$J54=0</formula>
    </cfRule>
  </conditionalFormatting>
  <conditionalFormatting sqref="D48">
    <cfRule type="expression" dxfId="216" priority="240">
      <formula>$G48&gt;$K$36</formula>
    </cfRule>
    <cfRule type="expression" dxfId="215" priority="241">
      <formula>$D48&lt;=$D46</formula>
    </cfRule>
    <cfRule type="expression" dxfId="214" priority="242">
      <formula>$G48&lt;=$D48</formula>
    </cfRule>
    <cfRule type="expression" dxfId="213" priority="243">
      <formula>$J48=0</formula>
    </cfRule>
  </conditionalFormatting>
  <conditionalFormatting sqref="D44">
    <cfRule type="expression" dxfId="212" priority="250">
      <formula>$G44&gt;$K$36</formula>
    </cfRule>
    <cfRule type="expression" dxfId="211" priority="251">
      <formula>$D44&lt;=$D42</formula>
    </cfRule>
    <cfRule type="expression" dxfId="210" priority="252">
      <formula>$G44&lt;=$D44</formula>
    </cfRule>
    <cfRule type="expression" dxfId="209" priority="253">
      <formula>$J44=0</formula>
    </cfRule>
  </conditionalFormatting>
  <conditionalFormatting sqref="D44">
    <cfRule type="expression" dxfId="208" priority="249">
      <formula>$O42=1</formula>
    </cfRule>
  </conditionalFormatting>
  <conditionalFormatting sqref="D46">
    <cfRule type="expression" dxfId="207" priority="245">
      <formula>$G46&gt;$K$36</formula>
    </cfRule>
    <cfRule type="expression" dxfId="206" priority="246">
      <formula>$D46&lt;=$D44</formula>
    </cfRule>
    <cfRule type="expression" dxfId="205" priority="247">
      <formula>$G46&lt;=$D46</formula>
    </cfRule>
    <cfRule type="expression" dxfId="204" priority="248">
      <formula>$J46=0</formula>
    </cfRule>
  </conditionalFormatting>
  <conditionalFormatting sqref="D46">
    <cfRule type="expression" dxfId="203" priority="244">
      <formula>$O44=1</formula>
    </cfRule>
  </conditionalFormatting>
  <conditionalFormatting sqref="D48">
    <cfRule type="expression" dxfId="202" priority="239">
      <formula>$O46=1</formula>
    </cfRule>
  </conditionalFormatting>
  <conditionalFormatting sqref="D50">
    <cfRule type="expression" dxfId="201" priority="235">
      <formula>$G50&gt;$K$36</formula>
    </cfRule>
    <cfRule type="expression" dxfId="200" priority="236">
      <formula>$D50&lt;=$D48</formula>
    </cfRule>
    <cfRule type="expression" dxfId="199" priority="237">
      <formula>$G50&lt;=$D50</formula>
    </cfRule>
    <cfRule type="expression" dxfId="198" priority="238">
      <formula>$J50=0</formula>
    </cfRule>
  </conditionalFormatting>
  <conditionalFormatting sqref="D50">
    <cfRule type="expression" dxfId="197" priority="234">
      <formula>$O48=1</formula>
    </cfRule>
  </conditionalFormatting>
  <conditionalFormatting sqref="D52">
    <cfRule type="expression" dxfId="196" priority="230">
      <formula>$G52&gt;$K$36</formula>
    </cfRule>
    <cfRule type="expression" dxfId="195" priority="231">
      <formula>$D52&lt;=$D50</formula>
    </cfRule>
    <cfRule type="expression" dxfId="194" priority="232">
      <formula>$G52&lt;=$D52</formula>
    </cfRule>
    <cfRule type="expression" dxfId="193" priority="233">
      <formula>$J52=0</formula>
    </cfRule>
  </conditionalFormatting>
  <conditionalFormatting sqref="D52">
    <cfRule type="expression" dxfId="192" priority="229">
      <formula>$O50=1</formula>
    </cfRule>
  </conditionalFormatting>
  <conditionalFormatting sqref="D54">
    <cfRule type="expression" dxfId="191" priority="225">
      <formula>$G54&gt;$K$36</formula>
    </cfRule>
    <cfRule type="expression" dxfId="190" priority="226">
      <formula>$D54&lt;=$D52</formula>
    </cfRule>
    <cfRule type="expression" dxfId="189" priority="227">
      <formula>$G54&lt;=$D54</formula>
    </cfRule>
    <cfRule type="expression" dxfId="188" priority="228">
      <formula>$J54=0</formula>
    </cfRule>
  </conditionalFormatting>
  <conditionalFormatting sqref="D54">
    <cfRule type="expression" dxfId="187" priority="224">
      <formula>$O52=1</formula>
    </cfRule>
  </conditionalFormatting>
  <conditionalFormatting sqref="J46">
    <cfRule type="expression" dxfId="186" priority="185">
      <formula>$G46&gt;$K$36</formula>
    </cfRule>
    <cfRule type="expression" dxfId="185" priority="186">
      <formula>$D46&lt;=$D44</formula>
    </cfRule>
    <cfRule type="expression" dxfId="184" priority="187">
      <formula>$G46&lt;=$D46</formula>
    </cfRule>
    <cfRule type="expression" dxfId="183" priority="188">
      <formula>$J46=0</formula>
    </cfRule>
  </conditionalFormatting>
  <conditionalFormatting sqref="J46">
    <cfRule type="expression" dxfId="182" priority="184">
      <formula>$O44=1</formula>
    </cfRule>
  </conditionalFormatting>
  <conditionalFormatting sqref="J48">
    <cfRule type="expression" dxfId="181" priority="180">
      <formula>$G48&gt;$K$36</formula>
    </cfRule>
    <cfRule type="expression" dxfId="180" priority="181">
      <formula>$D48&lt;=$D46</formula>
    </cfRule>
    <cfRule type="expression" dxfId="179" priority="182">
      <formula>$G48&lt;=$D48</formula>
    </cfRule>
    <cfRule type="expression" dxfId="178" priority="183">
      <formula>$J48=0</formula>
    </cfRule>
  </conditionalFormatting>
  <conditionalFormatting sqref="J48">
    <cfRule type="expression" dxfId="177" priority="179">
      <formula>$O46=1</formula>
    </cfRule>
  </conditionalFormatting>
  <conditionalFormatting sqref="J50">
    <cfRule type="expression" dxfId="176" priority="175">
      <formula>$G50&gt;$K$36</formula>
    </cfRule>
    <cfRule type="expression" dxfId="175" priority="176">
      <formula>$D50&lt;=$D48</formula>
    </cfRule>
    <cfRule type="expression" dxfId="174" priority="177">
      <formula>$G50&lt;=$D50</formula>
    </cfRule>
    <cfRule type="expression" dxfId="173" priority="178">
      <formula>$J50=0</formula>
    </cfRule>
  </conditionalFormatting>
  <conditionalFormatting sqref="J50">
    <cfRule type="expression" dxfId="172" priority="174">
      <formula>$O48=1</formula>
    </cfRule>
  </conditionalFormatting>
  <conditionalFormatting sqref="J52">
    <cfRule type="expression" dxfId="171" priority="170">
      <formula>$G52&gt;$K$36</formula>
    </cfRule>
    <cfRule type="expression" dxfId="170" priority="171">
      <formula>$D52&lt;=$D50</formula>
    </cfRule>
    <cfRule type="expression" dxfId="169" priority="172">
      <formula>$G52&lt;=$D52</formula>
    </cfRule>
    <cfRule type="expression" dxfId="168" priority="173">
      <formula>$J52=0</formula>
    </cfRule>
  </conditionalFormatting>
  <conditionalFormatting sqref="J52">
    <cfRule type="expression" dxfId="167" priority="169">
      <formula>$O50=1</formula>
    </cfRule>
  </conditionalFormatting>
  <conditionalFormatting sqref="J54">
    <cfRule type="expression" dxfId="166" priority="165">
      <formula>$G54&gt;$K$36</formula>
    </cfRule>
    <cfRule type="expression" dxfId="165" priority="166">
      <formula>$D54&lt;=$D52</formula>
    </cfRule>
    <cfRule type="expression" dxfId="164" priority="167">
      <formula>$G54&lt;=$D54</formula>
    </cfRule>
    <cfRule type="expression" dxfId="163" priority="168">
      <formula>$J54=0</formula>
    </cfRule>
  </conditionalFormatting>
  <conditionalFormatting sqref="J54">
    <cfRule type="expression" dxfId="162" priority="164">
      <formula>$O52=1</formula>
    </cfRule>
  </conditionalFormatting>
  <conditionalFormatting sqref="G42">
    <cfRule type="expression" dxfId="161" priority="160">
      <formula>$G42&gt;$K$36</formula>
    </cfRule>
    <cfRule type="expression" dxfId="160" priority="161">
      <formula>$D42&lt;=$D40</formula>
    </cfRule>
    <cfRule type="expression" dxfId="159" priority="162">
      <formula>$G42&lt;=$D42</formula>
    </cfRule>
    <cfRule type="expression" dxfId="158" priority="163">
      <formula>$J42=0</formula>
    </cfRule>
  </conditionalFormatting>
  <conditionalFormatting sqref="J44">
    <cfRule type="expression" dxfId="157" priority="190">
      <formula>$G44&gt;$K$36</formula>
    </cfRule>
    <cfRule type="expression" dxfId="156" priority="191">
      <formula>$D44&lt;=$D42</formula>
    </cfRule>
    <cfRule type="expression" dxfId="155" priority="192">
      <formula>$G44&lt;=$D44</formula>
    </cfRule>
    <cfRule type="expression" dxfId="154" priority="193">
      <formula>$J44=0</formula>
    </cfRule>
  </conditionalFormatting>
  <conditionalFormatting sqref="J44">
    <cfRule type="expression" dxfId="153" priority="189">
      <formula>$O42=1</formula>
    </cfRule>
  </conditionalFormatting>
  <conditionalFormatting sqref="G54">
    <cfRule type="expression" dxfId="152" priority="129">
      <formula>$O52=1</formula>
    </cfRule>
  </conditionalFormatting>
  <conditionalFormatting sqref="G44">
    <cfRule type="expression" dxfId="151" priority="155">
      <formula>$G44&gt;$K$36</formula>
    </cfRule>
    <cfRule type="expression" dxfId="150" priority="156">
      <formula>$D44&lt;=$D42</formula>
    </cfRule>
    <cfRule type="expression" dxfId="149" priority="157">
      <formula>$G44&lt;=$D44</formula>
    </cfRule>
    <cfRule type="expression" dxfId="148" priority="158">
      <formula>$J44=0</formula>
    </cfRule>
  </conditionalFormatting>
  <conditionalFormatting sqref="G44">
    <cfRule type="expression" dxfId="147" priority="154">
      <formula>$O42=1</formula>
    </cfRule>
  </conditionalFormatting>
  <conditionalFormatting sqref="G46">
    <cfRule type="expression" dxfId="146" priority="150">
      <formula>$G46&gt;$K$36</formula>
    </cfRule>
    <cfRule type="expression" dxfId="145" priority="151">
      <formula>$D46&lt;=$D44</formula>
    </cfRule>
    <cfRule type="expression" dxfId="144" priority="152">
      <formula>$G46&lt;=$D46</formula>
    </cfRule>
    <cfRule type="expression" dxfId="143" priority="153">
      <formula>$J46=0</formula>
    </cfRule>
  </conditionalFormatting>
  <conditionalFormatting sqref="G46">
    <cfRule type="expression" dxfId="142" priority="149">
      <formula>$O44=1</formula>
    </cfRule>
  </conditionalFormatting>
  <conditionalFormatting sqref="G48">
    <cfRule type="expression" dxfId="141" priority="145">
      <formula>$G48&gt;$K$36</formula>
    </cfRule>
    <cfRule type="expression" dxfId="140" priority="146">
      <formula>$D48&lt;=$D46</formula>
    </cfRule>
    <cfRule type="expression" dxfId="139" priority="147">
      <formula>$G48&lt;=$D48</formula>
    </cfRule>
    <cfRule type="expression" dxfId="138" priority="148">
      <formula>$J48=0</formula>
    </cfRule>
  </conditionalFormatting>
  <conditionalFormatting sqref="G48">
    <cfRule type="expression" dxfId="137" priority="144">
      <formula>$O46=1</formula>
    </cfRule>
  </conditionalFormatting>
  <conditionalFormatting sqref="G50">
    <cfRule type="expression" dxfId="136" priority="140">
      <formula>$G50&gt;$K$36</formula>
    </cfRule>
    <cfRule type="expression" dxfId="135" priority="141">
      <formula>$D50&lt;=$D48</formula>
    </cfRule>
    <cfRule type="expression" dxfId="134" priority="142">
      <formula>$G50&lt;=$D50</formula>
    </cfRule>
    <cfRule type="expression" dxfId="133" priority="143">
      <formula>$J50=0</formula>
    </cfRule>
  </conditionalFormatting>
  <conditionalFormatting sqref="G50">
    <cfRule type="expression" dxfId="132" priority="139">
      <formula>$O48=1</formula>
    </cfRule>
  </conditionalFormatting>
  <conditionalFormatting sqref="G52">
    <cfRule type="expression" dxfId="131" priority="135">
      <formula>$G52&gt;$K$36</formula>
    </cfRule>
    <cfRule type="expression" dxfId="130" priority="136">
      <formula>$D52&lt;=$D50</formula>
    </cfRule>
    <cfRule type="expression" dxfId="129" priority="137">
      <formula>$G52&lt;=$D52</formula>
    </cfRule>
    <cfRule type="expression" dxfId="128" priority="138">
      <formula>$J52=0</formula>
    </cfRule>
  </conditionalFormatting>
  <conditionalFormatting sqref="G52">
    <cfRule type="expression" dxfId="127" priority="134">
      <formula>$O50=1</formula>
    </cfRule>
  </conditionalFormatting>
  <conditionalFormatting sqref="G54">
    <cfRule type="expression" dxfId="126" priority="130">
      <formula>$G54&gt;$K$36</formula>
    </cfRule>
    <cfRule type="expression" dxfId="125" priority="131">
      <formula>$D54&lt;=$D52</formula>
    </cfRule>
    <cfRule type="expression" dxfId="124" priority="132">
      <formula>$G54&lt;=$D54</formula>
    </cfRule>
    <cfRule type="expression" dxfId="123" priority="133">
      <formula>$J54=0</formula>
    </cfRule>
  </conditionalFormatting>
  <conditionalFormatting sqref="G44">
    <cfRule type="expression" dxfId="122" priority="125">
      <formula>$G44&gt;$K$36</formula>
    </cfRule>
    <cfRule type="expression" dxfId="121" priority="126">
      <formula>$D44&lt;=$D42</formula>
    </cfRule>
    <cfRule type="expression" dxfId="120" priority="127">
      <formula>$G44&lt;=$D44</formula>
    </cfRule>
    <cfRule type="expression" dxfId="119" priority="128">
      <formula>$J44=0</formula>
    </cfRule>
  </conditionalFormatting>
  <conditionalFormatting sqref="G44">
    <cfRule type="expression" dxfId="118" priority="124">
      <formula>$O42=1</formula>
    </cfRule>
  </conditionalFormatting>
  <conditionalFormatting sqref="G46">
    <cfRule type="expression" dxfId="117" priority="120">
      <formula>$G46&gt;$K$36</formula>
    </cfRule>
    <cfRule type="expression" dxfId="116" priority="121">
      <formula>$D46&lt;=$D44</formula>
    </cfRule>
    <cfRule type="expression" dxfId="115" priority="122">
      <formula>$G46&lt;=$D46</formula>
    </cfRule>
    <cfRule type="expression" dxfId="114" priority="123">
      <formula>$J46=0</formula>
    </cfRule>
  </conditionalFormatting>
  <conditionalFormatting sqref="G46">
    <cfRule type="expression" dxfId="113" priority="119">
      <formula>$O44=1</formula>
    </cfRule>
  </conditionalFormatting>
  <conditionalFormatting sqref="G48">
    <cfRule type="expression" dxfId="112" priority="115">
      <formula>$G48&gt;$K$36</formula>
    </cfRule>
    <cfRule type="expression" dxfId="111" priority="116">
      <formula>$D48&lt;=$D46</formula>
    </cfRule>
    <cfRule type="expression" dxfId="110" priority="117">
      <formula>$G48&lt;=$D48</formula>
    </cfRule>
    <cfRule type="expression" dxfId="109" priority="118">
      <formula>$J48=0</formula>
    </cfRule>
  </conditionalFormatting>
  <conditionalFormatting sqref="G48">
    <cfRule type="expression" dxfId="108" priority="114">
      <formula>$O46=1</formula>
    </cfRule>
  </conditionalFormatting>
  <conditionalFormatting sqref="G50">
    <cfRule type="expression" dxfId="107" priority="110">
      <formula>$G50&gt;$K$36</formula>
    </cfRule>
    <cfRule type="expression" dxfId="106" priority="111">
      <formula>$D50&lt;=$D48</formula>
    </cfRule>
    <cfRule type="expression" dxfId="105" priority="112">
      <formula>$G50&lt;=$D50</formula>
    </cfRule>
    <cfRule type="expression" dxfId="104" priority="113">
      <formula>$J50=0</formula>
    </cfRule>
  </conditionalFormatting>
  <conditionalFormatting sqref="G50">
    <cfRule type="expression" dxfId="103" priority="109">
      <formula>$O48=1</formula>
    </cfRule>
  </conditionalFormatting>
  <conditionalFormatting sqref="G52">
    <cfRule type="expression" dxfId="102" priority="105">
      <formula>$G52&gt;$K$36</formula>
    </cfRule>
    <cfRule type="expression" dxfId="101" priority="106">
      <formula>$D52&lt;=$D50</formula>
    </cfRule>
    <cfRule type="expression" dxfId="100" priority="107">
      <formula>$G52&lt;=$D52</formula>
    </cfRule>
    <cfRule type="expression" dxfId="99" priority="108">
      <formula>$J52=0</formula>
    </cfRule>
  </conditionalFormatting>
  <conditionalFormatting sqref="G52">
    <cfRule type="expression" dxfId="98" priority="104">
      <formula>$O50=1</formula>
    </cfRule>
  </conditionalFormatting>
  <conditionalFormatting sqref="G54">
    <cfRule type="expression" dxfId="97" priority="100">
      <formula>$G54&gt;$K$36</formula>
    </cfRule>
    <cfRule type="expression" dxfId="96" priority="101">
      <formula>$D54&lt;=$D52</formula>
    </cfRule>
    <cfRule type="expression" dxfId="95" priority="102">
      <formula>$G54&lt;=$D54</formula>
    </cfRule>
    <cfRule type="expression" dxfId="94" priority="103">
      <formula>$J54=0</formula>
    </cfRule>
  </conditionalFormatting>
  <conditionalFormatting sqref="G54">
    <cfRule type="expression" dxfId="93" priority="99">
      <formula>$O52=1</formula>
    </cfRule>
  </conditionalFormatting>
  <conditionalFormatting sqref="D42 G42 J42">
    <cfRule type="expression" dxfId="92" priority="98">
      <formula>$N42=1</formula>
    </cfRule>
  </conditionalFormatting>
  <conditionalFormatting sqref="D44">
    <cfRule type="expression" dxfId="91" priority="94">
      <formula>$G44&gt;$K$36</formula>
    </cfRule>
    <cfRule type="expression" dxfId="90" priority="95">
      <formula>$D44&lt;=$D42</formula>
    </cfRule>
    <cfRule type="expression" dxfId="89" priority="96">
      <formula>$G44&lt;=$D44</formula>
    </cfRule>
    <cfRule type="expression" dxfId="88" priority="97">
      <formula>$J44=0</formula>
    </cfRule>
  </conditionalFormatting>
  <conditionalFormatting sqref="D44">
    <cfRule type="expression" dxfId="87" priority="93">
      <formula>$N44=1</formula>
    </cfRule>
  </conditionalFormatting>
  <conditionalFormatting sqref="D46">
    <cfRule type="expression" dxfId="86" priority="89">
      <formula>$G46&gt;$K$36</formula>
    </cfRule>
    <cfRule type="expression" dxfId="85" priority="90">
      <formula>$D46&lt;=$D44</formula>
    </cfRule>
    <cfRule type="expression" dxfId="84" priority="91">
      <formula>$G46&lt;=$D46</formula>
    </cfRule>
    <cfRule type="expression" dxfId="83" priority="92">
      <formula>$J46=0</formula>
    </cfRule>
  </conditionalFormatting>
  <conditionalFormatting sqref="D46">
    <cfRule type="expression" dxfId="82" priority="88">
      <formula>$N46=1</formula>
    </cfRule>
  </conditionalFormatting>
  <conditionalFormatting sqref="D48">
    <cfRule type="expression" dxfId="81" priority="84">
      <formula>$G48&gt;$K$36</formula>
    </cfRule>
    <cfRule type="expression" dxfId="80" priority="85">
      <formula>$D48&lt;=$D46</formula>
    </cfRule>
    <cfRule type="expression" dxfId="79" priority="86">
      <formula>$G48&lt;=$D48</formula>
    </cfRule>
    <cfRule type="expression" dxfId="78" priority="87">
      <formula>$J48=0</formula>
    </cfRule>
  </conditionalFormatting>
  <conditionalFormatting sqref="D48">
    <cfRule type="expression" dxfId="77" priority="83">
      <formula>$N48=1</formula>
    </cfRule>
  </conditionalFormatting>
  <conditionalFormatting sqref="D50">
    <cfRule type="expression" dxfId="76" priority="79">
      <formula>$G50&gt;$K$36</formula>
    </cfRule>
    <cfRule type="expression" dxfId="75" priority="80">
      <formula>$D50&lt;=$D48</formula>
    </cfRule>
    <cfRule type="expression" dxfId="74" priority="81">
      <formula>$G50&lt;=$D50</formula>
    </cfRule>
    <cfRule type="expression" dxfId="73" priority="82">
      <formula>$J50=0</formula>
    </cfRule>
  </conditionalFormatting>
  <conditionalFormatting sqref="D50">
    <cfRule type="expression" dxfId="72" priority="78">
      <formula>$N50=1</formula>
    </cfRule>
  </conditionalFormatting>
  <conditionalFormatting sqref="D52">
    <cfRule type="expression" dxfId="71" priority="74">
      <formula>$G52&gt;$K$36</formula>
    </cfRule>
    <cfRule type="expression" dxfId="70" priority="75">
      <formula>$D52&lt;=$D50</formula>
    </cfRule>
    <cfRule type="expression" dxfId="69" priority="76">
      <formula>$G52&lt;=$D52</formula>
    </cfRule>
    <cfRule type="expression" dxfId="68" priority="77">
      <formula>$J52=0</formula>
    </cfRule>
  </conditionalFormatting>
  <conditionalFormatting sqref="D52">
    <cfRule type="expression" dxfId="67" priority="73">
      <formula>$N52=1</formula>
    </cfRule>
  </conditionalFormatting>
  <conditionalFormatting sqref="D54">
    <cfRule type="expression" dxfId="66" priority="69">
      <formula>$G54&gt;$K$36</formula>
    </cfRule>
    <cfRule type="expression" dxfId="65" priority="70">
      <formula>$D54&lt;=$D52</formula>
    </cfRule>
    <cfRule type="expression" dxfId="64" priority="71">
      <formula>$G54&lt;=$D54</formula>
    </cfRule>
    <cfRule type="expression" dxfId="63" priority="72">
      <formula>$J54=0</formula>
    </cfRule>
  </conditionalFormatting>
  <conditionalFormatting sqref="D54">
    <cfRule type="expression" dxfId="62" priority="68">
      <formula>$N54=1</formula>
    </cfRule>
  </conditionalFormatting>
  <conditionalFormatting sqref="G44">
    <cfRule type="expression" dxfId="61" priority="64">
      <formula>$G44&gt;$K$36</formula>
    </cfRule>
    <cfRule type="expression" dxfId="60" priority="65">
      <formula>$D44&lt;=$D42</formula>
    </cfRule>
    <cfRule type="expression" dxfId="59" priority="66">
      <formula>$G44&lt;=$D44</formula>
    </cfRule>
    <cfRule type="expression" dxfId="58" priority="67">
      <formula>$J44=0</formula>
    </cfRule>
  </conditionalFormatting>
  <conditionalFormatting sqref="G44">
    <cfRule type="expression" dxfId="57" priority="63">
      <formula>$N44=1</formula>
    </cfRule>
  </conditionalFormatting>
  <conditionalFormatting sqref="G46">
    <cfRule type="expression" dxfId="56" priority="59">
      <formula>$G46&gt;$K$36</formula>
    </cfRule>
    <cfRule type="expression" dxfId="55" priority="60">
      <formula>$D46&lt;=$D44</formula>
    </cfRule>
    <cfRule type="expression" dxfId="54" priority="61">
      <formula>$G46&lt;=$D46</formula>
    </cfRule>
    <cfRule type="expression" dxfId="53" priority="62">
      <formula>$J46=0</formula>
    </cfRule>
  </conditionalFormatting>
  <conditionalFormatting sqref="G46">
    <cfRule type="expression" dxfId="52" priority="58">
      <formula>$N46=1</formula>
    </cfRule>
  </conditionalFormatting>
  <conditionalFormatting sqref="G48">
    <cfRule type="expression" dxfId="51" priority="54">
      <formula>$G48&gt;$K$36</formula>
    </cfRule>
    <cfRule type="expression" dxfId="50" priority="55">
      <formula>$D48&lt;=$D46</formula>
    </cfRule>
    <cfRule type="expression" dxfId="49" priority="56">
      <formula>$G48&lt;=$D48</formula>
    </cfRule>
    <cfRule type="expression" dxfId="48" priority="57">
      <formula>$J48=0</formula>
    </cfRule>
  </conditionalFormatting>
  <conditionalFormatting sqref="G48">
    <cfRule type="expression" dxfId="47" priority="53">
      <formula>$N48=1</formula>
    </cfRule>
  </conditionalFormatting>
  <conditionalFormatting sqref="G50">
    <cfRule type="expression" dxfId="46" priority="49">
      <formula>$G50&gt;$K$36</formula>
    </cfRule>
    <cfRule type="expression" dxfId="45" priority="50">
      <formula>$D50&lt;=$D48</formula>
    </cfRule>
    <cfRule type="expression" dxfId="44" priority="51">
      <formula>$G50&lt;=$D50</formula>
    </cfRule>
    <cfRule type="expression" dxfId="43" priority="52">
      <formula>$J50=0</formula>
    </cfRule>
  </conditionalFormatting>
  <conditionalFormatting sqref="G50">
    <cfRule type="expression" dxfId="42" priority="48">
      <formula>$N50=1</formula>
    </cfRule>
  </conditionalFormatting>
  <conditionalFormatting sqref="G52">
    <cfRule type="expression" dxfId="41" priority="44">
      <formula>$G52&gt;$K$36</formula>
    </cfRule>
    <cfRule type="expression" dxfId="40" priority="45">
      <formula>$D52&lt;=$D50</formula>
    </cfRule>
    <cfRule type="expression" dxfId="39" priority="46">
      <formula>$G52&lt;=$D52</formula>
    </cfRule>
    <cfRule type="expression" dxfId="38" priority="47">
      <formula>$J52=0</formula>
    </cfRule>
  </conditionalFormatting>
  <conditionalFormatting sqref="G52">
    <cfRule type="expression" dxfId="37" priority="43">
      <formula>$N52=1</formula>
    </cfRule>
  </conditionalFormatting>
  <conditionalFormatting sqref="G54">
    <cfRule type="expression" dxfId="36" priority="39">
      <formula>$G54&gt;$K$36</formula>
    </cfRule>
    <cfRule type="expression" dxfId="35" priority="40">
      <formula>$D54&lt;=$D52</formula>
    </cfRule>
    <cfRule type="expression" dxfId="34" priority="41">
      <formula>$G54&lt;=$D54</formula>
    </cfRule>
    <cfRule type="expression" dxfId="33" priority="42">
      <formula>$J54=0</formula>
    </cfRule>
  </conditionalFormatting>
  <conditionalFormatting sqref="G54">
    <cfRule type="expression" dxfId="32" priority="38">
      <formula>$N54=1</formula>
    </cfRule>
  </conditionalFormatting>
  <conditionalFormatting sqref="J44">
    <cfRule type="expression" dxfId="31" priority="34">
      <formula>$G44&gt;$K$36</formula>
    </cfRule>
    <cfRule type="expression" dxfId="30" priority="35">
      <formula>$D44&lt;=$D42</formula>
    </cfRule>
    <cfRule type="expression" dxfId="29" priority="36">
      <formula>$G44&lt;=$D44</formula>
    </cfRule>
    <cfRule type="expression" dxfId="28" priority="37">
      <formula>$J44=0</formula>
    </cfRule>
  </conditionalFormatting>
  <conditionalFormatting sqref="J44">
    <cfRule type="expression" dxfId="27" priority="33">
      <formula>$N44=1</formula>
    </cfRule>
  </conditionalFormatting>
  <conditionalFormatting sqref="J46">
    <cfRule type="expression" dxfId="26" priority="29">
      <formula>$G46&gt;$K$36</formula>
    </cfRule>
    <cfRule type="expression" dxfId="25" priority="30">
      <formula>$D46&lt;=$D44</formula>
    </cfRule>
    <cfRule type="expression" dxfId="24" priority="31">
      <formula>$G46&lt;=$D46</formula>
    </cfRule>
    <cfRule type="expression" dxfId="23" priority="32">
      <formula>$J46=0</formula>
    </cfRule>
  </conditionalFormatting>
  <conditionalFormatting sqref="J46">
    <cfRule type="expression" dxfId="22" priority="28">
      <formula>$N46=1</formula>
    </cfRule>
  </conditionalFormatting>
  <conditionalFormatting sqref="J48">
    <cfRule type="expression" dxfId="21" priority="24">
      <formula>$G48&gt;$K$36</formula>
    </cfRule>
    <cfRule type="expression" dxfId="20" priority="25">
      <formula>$D48&lt;=$D46</formula>
    </cfRule>
    <cfRule type="expression" dxfId="19" priority="26">
      <formula>$G48&lt;=$D48</formula>
    </cfRule>
    <cfRule type="expression" dxfId="18" priority="27">
      <formula>$J48=0</formula>
    </cfRule>
  </conditionalFormatting>
  <conditionalFormatting sqref="J48">
    <cfRule type="expression" dxfId="17" priority="23">
      <formula>$N48=1</formula>
    </cfRule>
  </conditionalFormatting>
  <conditionalFormatting sqref="J50">
    <cfRule type="expression" dxfId="16" priority="19">
      <formula>$G50&gt;$K$36</formula>
    </cfRule>
    <cfRule type="expression" dxfId="15" priority="20">
      <formula>$D50&lt;=$D48</formula>
    </cfRule>
    <cfRule type="expression" dxfId="14" priority="21">
      <formula>$G50&lt;=$D50</formula>
    </cfRule>
    <cfRule type="expression" dxfId="13" priority="22">
      <formula>$J50=0</formula>
    </cfRule>
  </conditionalFormatting>
  <conditionalFormatting sqref="J50">
    <cfRule type="expression" dxfId="12" priority="18">
      <formula>$N50=1</formula>
    </cfRule>
  </conditionalFormatting>
  <conditionalFormatting sqref="J52">
    <cfRule type="expression" dxfId="11" priority="14">
      <formula>$G52&gt;$K$36</formula>
    </cfRule>
    <cfRule type="expression" dxfId="10" priority="15">
      <formula>$D52&lt;=$D50</formula>
    </cfRule>
    <cfRule type="expression" dxfId="9" priority="16">
      <formula>$G52&lt;=$D52</formula>
    </cfRule>
    <cfRule type="expression" dxfId="8" priority="17">
      <formula>$J52=0</formula>
    </cfRule>
  </conditionalFormatting>
  <conditionalFormatting sqref="J52">
    <cfRule type="expression" dxfId="7" priority="13">
      <formula>$N52=1</formula>
    </cfRule>
  </conditionalFormatting>
  <conditionalFormatting sqref="J54">
    <cfRule type="expression" dxfId="6" priority="9">
      <formula>$G54&gt;$K$36</formula>
    </cfRule>
    <cfRule type="expression" dxfId="5" priority="10">
      <formula>$D54&lt;=$D52</formula>
    </cfRule>
    <cfRule type="expression" dxfId="4" priority="11">
      <formula>$G54&lt;=$D54</formula>
    </cfRule>
    <cfRule type="expression" dxfId="3" priority="12">
      <formula>$J54=0</formula>
    </cfRule>
  </conditionalFormatting>
  <conditionalFormatting sqref="J54">
    <cfRule type="expression" dxfId="2" priority="8">
      <formula>$N54=1</formula>
    </cfRule>
  </conditionalFormatting>
  <conditionalFormatting sqref="D58 D60 D62 D64 D66 J58 J60 J62 J64 J66">
    <cfRule type="expression" dxfId="1" priority="2">
      <formula>$P$16=0</formula>
    </cfRule>
  </conditionalFormatting>
  <conditionalFormatting sqref="F32">
    <cfRule type="expression" dxfId="0" priority="1">
      <formula>$F$12=1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6</xdr:col>
                    <xdr:colOff>152400</xdr:colOff>
                    <xdr:row>6</xdr:row>
                    <xdr:rowOff>254000</xdr:rowOff>
                  </from>
                  <to>
                    <xdr:col>10</xdr:col>
                    <xdr:colOff>241300</xdr:colOff>
                    <xdr:row>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6</xdr:col>
                    <xdr:colOff>152400</xdr:colOff>
                    <xdr:row>9</xdr:row>
                    <xdr:rowOff>0</xdr:rowOff>
                  </from>
                  <to>
                    <xdr:col>10</xdr:col>
                    <xdr:colOff>241300</xdr:colOff>
                    <xdr:row>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croll Bar 5">
              <controlPr locked="0" defaultSize="0" autoPict="0">
                <anchor moveWithCells="1">
                  <from>
                    <xdr:col>6</xdr:col>
                    <xdr:colOff>165100</xdr:colOff>
                    <xdr:row>2</xdr:row>
                    <xdr:rowOff>254000</xdr:rowOff>
                  </from>
                  <to>
                    <xdr:col>7</xdr:col>
                    <xdr:colOff>342900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Group Box 8">
              <controlPr defaultSize="0" autoFill="0" autoPict="0">
                <anchor moveWithCells="1">
                  <from>
                    <xdr:col>11</xdr:col>
                    <xdr:colOff>469900</xdr:colOff>
                    <xdr:row>7</xdr:row>
                    <xdr:rowOff>76200</xdr:rowOff>
                  </from>
                  <to>
                    <xdr:col>14</xdr:col>
                    <xdr:colOff>342900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>
                <anchor moveWithCells="1">
                  <from>
                    <xdr:col>11</xdr:col>
                    <xdr:colOff>469900</xdr:colOff>
                    <xdr:row>7</xdr:row>
                    <xdr:rowOff>139700</xdr:rowOff>
                  </from>
                  <to>
                    <xdr:col>14</xdr:col>
                    <xdr:colOff>101600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>
                <anchor moveWithCells="1">
                  <from>
                    <xdr:col>11</xdr:col>
                    <xdr:colOff>469900</xdr:colOff>
                    <xdr:row>9</xdr:row>
                    <xdr:rowOff>101600</xdr:rowOff>
                  </from>
                  <to>
                    <xdr:col>14</xdr:col>
                    <xdr:colOff>101600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>
                <anchor moveWithCells="1">
                  <from>
                    <xdr:col>11</xdr:col>
                    <xdr:colOff>469900</xdr:colOff>
                    <xdr:row>11</xdr:row>
                    <xdr:rowOff>50800</xdr:rowOff>
                  </from>
                  <to>
                    <xdr:col>14</xdr:col>
                    <xdr:colOff>101600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>
                <anchor moveWithCells="1">
                  <from>
                    <xdr:col>11</xdr:col>
                    <xdr:colOff>469900</xdr:colOff>
                    <xdr:row>13</xdr:row>
                    <xdr:rowOff>0</xdr:rowOff>
                  </from>
                  <to>
                    <xdr:col>14</xdr:col>
                    <xdr:colOff>101600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>
                <anchor moveWithCells="1">
                  <from>
                    <xdr:col>11</xdr:col>
                    <xdr:colOff>469900</xdr:colOff>
                    <xdr:row>14</xdr:row>
                    <xdr:rowOff>0</xdr:rowOff>
                  </from>
                  <to>
                    <xdr:col>14</xdr:col>
                    <xdr:colOff>101600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altText="Optimal - distance">
                <anchor moveWithCells="1">
                  <from>
                    <xdr:col>11</xdr:col>
                    <xdr:colOff>469900</xdr:colOff>
                    <xdr:row>15</xdr:row>
                    <xdr:rowOff>215900</xdr:rowOff>
                  </from>
                  <to>
                    <xdr:col>14</xdr:col>
                    <xdr:colOff>101600</xdr:colOff>
                    <xdr:row>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Scroll Bar 27">
              <controlPr defaultSize="0" autoPict="0">
                <anchor moveWithCells="1">
                  <from>
                    <xdr:col>6</xdr:col>
                    <xdr:colOff>152400</xdr:colOff>
                    <xdr:row>13</xdr:row>
                    <xdr:rowOff>0</xdr:rowOff>
                  </from>
                  <to>
                    <xdr:col>10</xdr:col>
                    <xdr:colOff>241300</xdr:colOff>
                    <xdr:row>13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Scroll Bar 28">
              <controlPr defaultSize="0" autoPict="0">
                <anchor moveWithCells="1">
                  <from>
                    <xdr:col>6</xdr:col>
                    <xdr:colOff>152400</xdr:colOff>
                    <xdr:row>15</xdr:row>
                    <xdr:rowOff>0</xdr:rowOff>
                  </from>
                  <to>
                    <xdr:col>10</xdr:col>
                    <xdr:colOff>241300</xdr:colOff>
                    <xdr:row>15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Scroll Bar 29">
              <controlPr defaultSize="0" autoPict="0">
                <anchor moveWithCells="1">
                  <from>
                    <xdr:col>6</xdr:col>
                    <xdr:colOff>152400</xdr:colOff>
                    <xdr:row>17</xdr:row>
                    <xdr:rowOff>0</xdr:rowOff>
                  </from>
                  <to>
                    <xdr:col>10</xdr:col>
                    <xdr:colOff>241300</xdr:colOff>
                    <xdr:row>17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Scroll Bar 30">
              <controlPr defaultSize="0" autoPict="0">
                <anchor moveWithCells="1">
                  <from>
                    <xdr:col>6</xdr:col>
                    <xdr:colOff>152400</xdr:colOff>
                    <xdr:row>19</xdr:row>
                    <xdr:rowOff>0</xdr:rowOff>
                  </from>
                  <to>
                    <xdr:col>10</xdr:col>
                    <xdr:colOff>241300</xdr:colOff>
                    <xdr:row>19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Scroll Bar 31">
              <controlPr defaultSize="0" autoPict="0">
                <anchor moveWithCells="1">
                  <from>
                    <xdr:col>6</xdr:col>
                    <xdr:colOff>152400</xdr:colOff>
                    <xdr:row>23</xdr:row>
                    <xdr:rowOff>0</xdr:rowOff>
                  </from>
                  <to>
                    <xdr:col>10</xdr:col>
                    <xdr:colOff>241300</xdr:colOff>
                    <xdr:row>23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Scroll Bar 32">
              <controlPr defaultSize="0" autoPict="0">
                <anchor moveWithCells="1">
                  <from>
                    <xdr:col>6</xdr:col>
                    <xdr:colOff>152400</xdr:colOff>
                    <xdr:row>25</xdr:row>
                    <xdr:rowOff>0</xdr:rowOff>
                  </from>
                  <to>
                    <xdr:col>10</xdr:col>
                    <xdr:colOff>241300</xdr:colOff>
                    <xdr:row>25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Scroll Bar 33">
              <controlPr defaultSize="0" autoPict="0">
                <anchor moveWithCells="1">
                  <from>
                    <xdr:col>6</xdr:col>
                    <xdr:colOff>152400</xdr:colOff>
                    <xdr:row>27</xdr:row>
                    <xdr:rowOff>0</xdr:rowOff>
                  </from>
                  <to>
                    <xdr:col>10</xdr:col>
                    <xdr:colOff>241300</xdr:colOff>
                    <xdr:row>27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Scroll Bar 34">
              <controlPr defaultSize="0" autoPict="0">
                <anchor moveWithCells="1">
                  <from>
                    <xdr:col>6</xdr:col>
                    <xdr:colOff>152400</xdr:colOff>
                    <xdr:row>29</xdr:row>
                    <xdr:rowOff>0</xdr:rowOff>
                  </from>
                  <to>
                    <xdr:col>10</xdr:col>
                    <xdr:colOff>241300</xdr:colOff>
                    <xdr:row>29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Scroll Bar 35">
              <controlPr defaultSize="0" autoPict="0">
                <anchor moveWithCells="1">
                  <from>
                    <xdr:col>6</xdr:col>
                    <xdr:colOff>152400</xdr:colOff>
                    <xdr:row>31</xdr:row>
                    <xdr:rowOff>0</xdr:rowOff>
                  </from>
                  <to>
                    <xdr:col>10</xdr:col>
                    <xdr:colOff>241300</xdr:colOff>
                    <xdr:row>31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domyslne_czasy">
                <anchor moveWithCells="1" sizeWithCells="1">
                  <from>
                    <xdr:col>14</xdr:col>
                    <xdr:colOff>25400</xdr:colOff>
                    <xdr:row>22</xdr:row>
                    <xdr:rowOff>0</xdr:rowOff>
                  </from>
                  <to>
                    <xdr:col>16</xdr:col>
                    <xdr:colOff>152400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Scroll Bar 38">
              <controlPr defaultSize="0" autoPict="0">
                <anchor moveWithCells="1">
                  <from>
                    <xdr:col>6</xdr:col>
                    <xdr:colOff>152400</xdr:colOff>
                    <xdr:row>21</xdr:row>
                    <xdr:rowOff>0</xdr:rowOff>
                  </from>
                  <to>
                    <xdr:col>10</xdr:col>
                    <xdr:colOff>241300</xdr:colOff>
                    <xdr:row>21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Scroll Bar 39">
              <controlPr locked="0" defaultSize="0" autoPict="0">
                <anchor moveWithCells="1">
                  <from>
                    <xdr:col>6</xdr:col>
                    <xdr:colOff>165100</xdr:colOff>
                    <xdr:row>35</xdr:row>
                    <xdr:rowOff>0</xdr:rowOff>
                  </from>
                  <to>
                    <xdr:col>9</xdr:col>
                    <xdr:colOff>330200</xdr:colOff>
                    <xdr:row>35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Scroll Bar 40">
              <controlPr locked="0" defaultSize="0" autoPict="0">
                <anchor moveWithCells="1">
                  <from>
                    <xdr:col>6</xdr:col>
                    <xdr:colOff>165100</xdr:colOff>
                    <xdr:row>36</xdr:row>
                    <xdr:rowOff>254000</xdr:rowOff>
                  </from>
                  <to>
                    <xdr:col>7</xdr:col>
                    <xdr:colOff>342900</xdr:colOff>
                    <xdr:row>37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7" name="Scroll Bar 43">
              <controlPr locked="0" defaultSize="0" autoPict="0">
                <anchor moveWithCells="1">
                  <from>
                    <xdr:col>11</xdr:col>
                    <xdr:colOff>165100</xdr:colOff>
                    <xdr:row>35</xdr:row>
                    <xdr:rowOff>0</xdr:rowOff>
                  </from>
                  <to>
                    <xdr:col>14</xdr:col>
                    <xdr:colOff>330200</xdr:colOff>
                    <xdr:row>35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8" name="Scroll Bar 45">
              <controlPr defaultSize="0" autoPict="0">
                <anchor moveWithCells="1">
                  <from>
                    <xdr:col>11</xdr:col>
                    <xdr:colOff>152400</xdr:colOff>
                    <xdr:row>2</xdr:row>
                    <xdr:rowOff>254000</xdr:rowOff>
                  </from>
                  <to>
                    <xdr:col>15</xdr:col>
                    <xdr:colOff>241300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9" name="Scroll Bar 56">
              <controlPr locked="0" defaultSize="0" autoPict="0">
                <anchor moveWithCells="1">
                  <from>
                    <xdr:col>10</xdr:col>
                    <xdr:colOff>165100</xdr:colOff>
                    <xdr:row>39</xdr:row>
                    <xdr:rowOff>0</xdr:rowOff>
                  </from>
                  <to>
                    <xdr:col>14</xdr:col>
                    <xdr:colOff>596900</xdr:colOff>
                    <xdr:row>39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0" name="Scroll Bar 57">
              <controlPr locked="0" defaultSize="0" autoPict="0">
                <anchor moveWithCells="1">
                  <from>
                    <xdr:col>4</xdr:col>
                    <xdr:colOff>165100</xdr:colOff>
                    <xdr:row>41</xdr:row>
                    <xdr:rowOff>0</xdr:rowOff>
                  </from>
                  <to>
                    <xdr:col>5</xdr:col>
                    <xdr:colOff>304800</xdr:colOff>
                    <xdr:row>41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1" name="Scroll Bar 59">
              <controlPr locked="0" defaultSize="0" autoPict="0">
                <anchor moveWithCells="1">
                  <from>
                    <xdr:col>10</xdr:col>
                    <xdr:colOff>165100</xdr:colOff>
                    <xdr:row>41</xdr:row>
                    <xdr:rowOff>0</xdr:rowOff>
                  </from>
                  <to>
                    <xdr:col>14</xdr:col>
                    <xdr:colOff>596900</xdr:colOff>
                    <xdr:row>41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2" name="Scroll Bar 60">
              <controlPr locked="0" defaultSize="0" autoPict="0">
                <anchor moveWithCells="1">
                  <from>
                    <xdr:col>4</xdr:col>
                    <xdr:colOff>165100</xdr:colOff>
                    <xdr:row>43</xdr:row>
                    <xdr:rowOff>0</xdr:rowOff>
                  </from>
                  <to>
                    <xdr:col>5</xdr:col>
                    <xdr:colOff>304800</xdr:colOff>
                    <xdr:row>43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33" name="Scroll Bar 62">
              <controlPr locked="0" defaultSize="0" autoPict="0">
                <anchor moveWithCells="1">
                  <from>
                    <xdr:col>10</xdr:col>
                    <xdr:colOff>165100</xdr:colOff>
                    <xdr:row>43</xdr:row>
                    <xdr:rowOff>0</xdr:rowOff>
                  </from>
                  <to>
                    <xdr:col>14</xdr:col>
                    <xdr:colOff>596900</xdr:colOff>
                    <xdr:row>43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34" name="Scroll Bar 63">
              <controlPr locked="0" defaultSize="0" autoPict="0">
                <anchor moveWithCells="1">
                  <from>
                    <xdr:col>4</xdr:col>
                    <xdr:colOff>165100</xdr:colOff>
                    <xdr:row>45</xdr:row>
                    <xdr:rowOff>0</xdr:rowOff>
                  </from>
                  <to>
                    <xdr:col>5</xdr:col>
                    <xdr:colOff>304800</xdr:colOff>
                    <xdr:row>45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35" name="Scroll Bar 65">
              <controlPr locked="0" defaultSize="0" autoPict="0">
                <anchor moveWithCells="1">
                  <from>
                    <xdr:col>10</xdr:col>
                    <xdr:colOff>165100</xdr:colOff>
                    <xdr:row>45</xdr:row>
                    <xdr:rowOff>0</xdr:rowOff>
                  </from>
                  <to>
                    <xdr:col>14</xdr:col>
                    <xdr:colOff>596900</xdr:colOff>
                    <xdr:row>45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6" name="Scroll Bar 66">
              <controlPr locked="0" defaultSize="0" autoPict="0">
                <anchor moveWithCells="1">
                  <from>
                    <xdr:col>4</xdr:col>
                    <xdr:colOff>165100</xdr:colOff>
                    <xdr:row>47</xdr:row>
                    <xdr:rowOff>0</xdr:rowOff>
                  </from>
                  <to>
                    <xdr:col>5</xdr:col>
                    <xdr:colOff>304800</xdr:colOff>
                    <xdr:row>47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7" name="Scroll Bar 68">
              <controlPr locked="0" defaultSize="0" autoPict="0">
                <anchor moveWithCells="1">
                  <from>
                    <xdr:col>10</xdr:col>
                    <xdr:colOff>165100</xdr:colOff>
                    <xdr:row>47</xdr:row>
                    <xdr:rowOff>0</xdr:rowOff>
                  </from>
                  <to>
                    <xdr:col>14</xdr:col>
                    <xdr:colOff>596900</xdr:colOff>
                    <xdr:row>47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8" name="Scroll Bar 69">
              <controlPr locked="0" defaultSize="0" autoPict="0">
                <anchor moveWithCells="1">
                  <from>
                    <xdr:col>4</xdr:col>
                    <xdr:colOff>165100</xdr:colOff>
                    <xdr:row>49</xdr:row>
                    <xdr:rowOff>0</xdr:rowOff>
                  </from>
                  <to>
                    <xdr:col>5</xdr:col>
                    <xdr:colOff>304800</xdr:colOff>
                    <xdr:row>49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9" name="Scroll Bar 71">
              <controlPr locked="0" defaultSize="0" autoPict="0">
                <anchor moveWithCells="1">
                  <from>
                    <xdr:col>10</xdr:col>
                    <xdr:colOff>165100</xdr:colOff>
                    <xdr:row>49</xdr:row>
                    <xdr:rowOff>0</xdr:rowOff>
                  </from>
                  <to>
                    <xdr:col>14</xdr:col>
                    <xdr:colOff>596900</xdr:colOff>
                    <xdr:row>49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40" name="Scroll Bar 72">
              <controlPr locked="0" defaultSize="0" autoPict="0">
                <anchor moveWithCells="1">
                  <from>
                    <xdr:col>4</xdr:col>
                    <xdr:colOff>165100</xdr:colOff>
                    <xdr:row>51</xdr:row>
                    <xdr:rowOff>0</xdr:rowOff>
                  </from>
                  <to>
                    <xdr:col>5</xdr:col>
                    <xdr:colOff>304800</xdr:colOff>
                    <xdr:row>51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41" name="Scroll Bar 74">
              <controlPr locked="0" defaultSize="0" autoPict="0">
                <anchor moveWithCells="1">
                  <from>
                    <xdr:col>10</xdr:col>
                    <xdr:colOff>165100</xdr:colOff>
                    <xdr:row>51</xdr:row>
                    <xdr:rowOff>0</xdr:rowOff>
                  </from>
                  <to>
                    <xdr:col>14</xdr:col>
                    <xdr:colOff>596900</xdr:colOff>
                    <xdr:row>51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42" name="Scroll Bar 75">
              <controlPr locked="0" defaultSize="0" autoPict="0">
                <anchor moveWithCells="1">
                  <from>
                    <xdr:col>4</xdr:col>
                    <xdr:colOff>165100</xdr:colOff>
                    <xdr:row>53</xdr:row>
                    <xdr:rowOff>0</xdr:rowOff>
                  </from>
                  <to>
                    <xdr:col>5</xdr:col>
                    <xdr:colOff>304800</xdr:colOff>
                    <xdr:row>53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3" name="Scroll Bar 77">
              <controlPr locked="0" defaultSize="0" autoPict="0">
                <anchor moveWithCells="1">
                  <from>
                    <xdr:col>10</xdr:col>
                    <xdr:colOff>165100</xdr:colOff>
                    <xdr:row>53</xdr:row>
                    <xdr:rowOff>0</xdr:rowOff>
                  </from>
                  <to>
                    <xdr:col>14</xdr:col>
                    <xdr:colOff>596900</xdr:colOff>
                    <xdr:row>53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4" name="Scroll Bar 84">
              <controlPr defaultSize="0" autoPict="0">
                <anchor moveWithCells="1">
                  <from>
                    <xdr:col>6</xdr:col>
                    <xdr:colOff>152400</xdr:colOff>
                    <xdr:row>68</xdr:row>
                    <xdr:rowOff>0</xdr:rowOff>
                  </from>
                  <to>
                    <xdr:col>12</xdr:col>
                    <xdr:colOff>457200</xdr:colOff>
                    <xdr:row>68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5" name="Scroll Bar 85">
              <controlPr defaultSize="0" autoPict="0">
                <anchor moveWithCells="1">
                  <from>
                    <xdr:col>6</xdr:col>
                    <xdr:colOff>152400</xdr:colOff>
                    <xdr:row>70</xdr:row>
                    <xdr:rowOff>0</xdr:rowOff>
                  </from>
                  <to>
                    <xdr:col>12</xdr:col>
                    <xdr:colOff>457200</xdr:colOff>
                    <xdr:row>70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6" name="Scroll Bar 86">
              <controlPr defaultSize="0" autoPict="0">
                <anchor moveWithCells="1">
                  <from>
                    <xdr:col>6</xdr:col>
                    <xdr:colOff>152400</xdr:colOff>
                    <xdr:row>11</xdr:row>
                    <xdr:rowOff>0</xdr:rowOff>
                  </from>
                  <to>
                    <xdr:col>10</xdr:col>
                    <xdr:colOff>241300</xdr:colOff>
                    <xdr:row>11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7" name="Scroll Bar 87">
              <controlPr locked="0" defaultSize="0" autoPict="0">
                <anchor moveWithCells="1">
                  <from>
                    <xdr:col>4</xdr:col>
                    <xdr:colOff>165100</xdr:colOff>
                    <xdr:row>57</xdr:row>
                    <xdr:rowOff>0</xdr:rowOff>
                  </from>
                  <to>
                    <xdr:col>6</xdr:col>
                    <xdr:colOff>228600</xdr:colOff>
                    <xdr:row>57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48" name="Scroll Bar 89">
              <controlPr locked="0" defaultSize="0" autoPict="0">
                <anchor moveWithCells="1">
                  <from>
                    <xdr:col>10</xdr:col>
                    <xdr:colOff>165100</xdr:colOff>
                    <xdr:row>57</xdr:row>
                    <xdr:rowOff>0</xdr:rowOff>
                  </from>
                  <to>
                    <xdr:col>14</xdr:col>
                    <xdr:colOff>254000</xdr:colOff>
                    <xdr:row>57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49" name="Scroll Bar 90">
              <controlPr locked="0" defaultSize="0" autoPict="0">
                <anchor moveWithCells="1">
                  <from>
                    <xdr:col>4</xdr:col>
                    <xdr:colOff>165100</xdr:colOff>
                    <xdr:row>59</xdr:row>
                    <xdr:rowOff>0</xdr:rowOff>
                  </from>
                  <to>
                    <xdr:col>6</xdr:col>
                    <xdr:colOff>228600</xdr:colOff>
                    <xdr:row>59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50" name="Scroll Bar 91">
              <controlPr locked="0" defaultSize="0" autoPict="0">
                <anchor moveWithCells="1">
                  <from>
                    <xdr:col>10</xdr:col>
                    <xdr:colOff>165100</xdr:colOff>
                    <xdr:row>59</xdr:row>
                    <xdr:rowOff>0</xdr:rowOff>
                  </from>
                  <to>
                    <xdr:col>14</xdr:col>
                    <xdr:colOff>254000</xdr:colOff>
                    <xdr:row>59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51" name="Scroll Bar 92">
              <controlPr locked="0" defaultSize="0" autoPict="0">
                <anchor moveWithCells="1">
                  <from>
                    <xdr:col>4</xdr:col>
                    <xdr:colOff>165100</xdr:colOff>
                    <xdr:row>61</xdr:row>
                    <xdr:rowOff>0</xdr:rowOff>
                  </from>
                  <to>
                    <xdr:col>6</xdr:col>
                    <xdr:colOff>228600</xdr:colOff>
                    <xdr:row>61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52" name="Scroll Bar 93">
              <controlPr locked="0" defaultSize="0" autoPict="0">
                <anchor moveWithCells="1">
                  <from>
                    <xdr:col>10</xdr:col>
                    <xdr:colOff>165100</xdr:colOff>
                    <xdr:row>61</xdr:row>
                    <xdr:rowOff>0</xdr:rowOff>
                  </from>
                  <to>
                    <xdr:col>14</xdr:col>
                    <xdr:colOff>254000</xdr:colOff>
                    <xdr:row>61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53" name="Scroll Bar 94">
              <controlPr locked="0" defaultSize="0" autoPict="0">
                <anchor moveWithCells="1">
                  <from>
                    <xdr:col>4</xdr:col>
                    <xdr:colOff>165100</xdr:colOff>
                    <xdr:row>63</xdr:row>
                    <xdr:rowOff>0</xdr:rowOff>
                  </from>
                  <to>
                    <xdr:col>6</xdr:col>
                    <xdr:colOff>228600</xdr:colOff>
                    <xdr:row>63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54" name="Scroll Bar 95">
              <controlPr locked="0" defaultSize="0" autoPict="0">
                <anchor moveWithCells="1">
                  <from>
                    <xdr:col>10</xdr:col>
                    <xdr:colOff>165100</xdr:colOff>
                    <xdr:row>63</xdr:row>
                    <xdr:rowOff>0</xdr:rowOff>
                  </from>
                  <to>
                    <xdr:col>14</xdr:col>
                    <xdr:colOff>254000</xdr:colOff>
                    <xdr:row>63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55" name="Scroll Bar 96">
              <controlPr locked="0" defaultSize="0" autoPict="0">
                <anchor moveWithCells="1">
                  <from>
                    <xdr:col>4</xdr:col>
                    <xdr:colOff>165100</xdr:colOff>
                    <xdr:row>65</xdr:row>
                    <xdr:rowOff>0</xdr:rowOff>
                  </from>
                  <to>
                    <xdr:col>6</xdr:col>
                    <xdr:colOff>228600</xdr:colOff>
                    <xdr:row>65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56" name="Option Button 97">
              <controlPr defaultSize="0" autoFill="0" autoLine="0" autoPict="0">
                <anchor moveWithCells="1">
                  <from>
                    <xdr:col>11</xdr:col>
                    <xdr:colOff>469900</xdr:colOff>
                    <xdr:row>17</xdr:row>
                    <xdr:rowOff>165100</xdr:rowOff>
                  </from>
                  <to>
                    <xdr:col>14</xdr:col>
                    <xdr:colOff>101600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BC47"/>
  <sheetViews>
    <sheetView tabSelected="1" zoomScale="70" zoomScaleNormal="70" workbookViewId="0">
      <selection activeCell="BI43" sqref="BI43"/>
    </sheetView>
  </sheetViews>
  <sheetFormatPr baseColWidth="10" defaultColWidth="8.83203125" defaultRowHeight="12" customHeight="1"/>
  <cols>
    <col min="1" max="1" width="19.83203125" style="4" customWidth="1"/>
    <col min="2" max="55" width="2.1640625" style="4" customWidth="1"/>
    <col min="56" max="16384" width="8.83203125" style="4"/>
  </cols>
  <sheetData>
    <row r="1" spans="1:55" ht="12" customHeight="1" thickBot="1">
      <c r="A1" s="78">
        <v>0</v>
      </c>
    </row>
    <row r="2" spans="1:55" ht="7" customHeight="1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11"/>
    </row>
    <row r="3" spans="1:55" ht="7" customHeight="1">
      <c r="B3" s="6"/>
      <c r="C3" s="5"/>
      <c r="D3" s="5"/>
      <c r="E3" s="5"/>
      <c r="F3" s="5"/>
      <c r="G3" s="5"/>
      <c r="H3" s="82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12"/>
    </row>
    <row r="4" spans="1:55" ht="7" customHeight="1"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12"/>
    </row>
    <row r="5" spans="1:55" ht="7" customHeight="1">
      <c r="B5" s="116">
        <v>1</v>
      </c>
      <c r="C5" s="94"/>
      <c r="D5" s="94"/>
      <c r="E5" s="5"/>
      <c r="F5" s="5"/>
      <c r="G5" s="5"/>
      <c r="H5" s="94">
        <v>11</v>
      </c>
      <c r="I5" s="94"/>
      <c r="J5" s="103"/>
      <c r="K5" s="106">
        <v>21</v>
      </c>
      <c r="L5" s="94"/>
      <c r="M5" s="94"/>
      <c r="N5" s="5"/>
      <c r="O5" s="5"/>
      <c r="P5" s="5"/>
      <c r="Q5" s="94">
        <v>31</v>
      </c>
      <c r="R5" s="94"/>
      <c r="S5" s="103"/>
      <c r="T5" s="106">
        <v>41</v>
      </c>
      <c r="U5" s="94"/>
      <c r="V5" s="94"/>
      <c r="W5" s="5"/>
      <c r="X5" s="5"/>
      <c r="Y5" s="5"/>
      <c r="Z5" s="94">
        <v>51</v>
      </c>
      <c r="AA5" s="94"/>
      <c r="AB5" s="103"/>
      <c r="AC5" s="112">
        <v>61</v>
      </c>
      <c r="AD5" s="94"/>
      <c r="AE5" s="94"/>
      <c r="AF5" s="5"/>
      <c r="AG5" s="5"/>
      <c r="AH5" s="5"/>
      <c r="AI5" s="102">
        <v>71</v>
      </c>
      <c r="AJ5" s="94"/>
      <c r="AK5" s="103"/>
      <c r="AL5" s="109">
        <v>81</v>
      </c>
      <c r="AM5" s="94"/>
      <c r="AN5" s="94"/>
      <c r="AO5" s="5"/>
      <c r="AP5" s="5"/>
      <c r="AQ5" s="5"/>
      <c r="AR5" s="94">
        <v>91</v>
      </c>
      <c r="AS5" s="94"/>
      <c r="AT5" s="103"/>
      <c r="AU5" s="106">
        <v>101</v>
      </c>
      <c r="AV5" s="94"/>
      <c r="AW5" s="94"/>
      <c r="AX5" s="5"/>
      <c r="AY5" s="5"/>
      <c r="AZ5" s="5"/>
      <c r="BA5" s="94">
        <v>111</v>
      </c>
      <c r="BB5" s="94"/>
      <c r="BC5" s="95"/>
    </row>
    <row r="6" spans="1:55" ht="7" customHeight="1">
      <c r="B6" s="117"/>
      <c r="C6" s="96"/>
      <c r="D6" s="96"/>
      <c r="E6" s="5"/>
      <c r="F6" s="5"/>
      <c r="G6" s="5"/>
      <c r="H6" s="96"/>
      <c r="I6" s="96"/>
      <c r="J6" s="104"/>
      <c r="K6" s="107"/>
      <c r="L6" s="96"/>
      <c r="M6" s="96"/>
      <c r="N6" s="5"/>
      <c r="O6" s="5"/>
      <c r="P6" s="5"/>
      <c r="Q6" s="96"/>
      <c r="R6" s="96"/>
      <c r="S6" s="104"/>
      <c r="T6" s="107"/>
      <c r="U6" s="96"/>
      <c r="V6" s="96"/>
      <c r="W6" s="5"/>
      <c r="X6" s="5"/>
      <c r="Y6" s="5"/>
      <c r="Z6" s="96"/>
      <c r="AA6" s="96"/>
      <c r="AB6" s="104"/>
      <c r="AC6" s="107"/>
      <c r="AD6" s="96"/>
      <c r="AE6" s="96"/>
      <c r="AF6" s="5"/>
      <c r="AG6" s="5"/>
      <c r="AH6" s="5"/>
      <c r="AI6" s="96"/>
      <c r="AJ6" s="96"/>
      <c r="AK6" s="104"/>
      <c r="AL6" s="107"/>
      <c r="AM6" s="96"/>
      <c r="AN6" s="96"/>
      <c r="AO6" s="5"/>
      <c r="AP6" s="5"/>
      <c r="AQ6" s="5"/>
      <c r="AR6" s="96"/>
      <c r="AS6" s="96"/>
      <c r="AT6" s="104"/>
      <c r="AU6" s="107"/>
      <c r="AV6" s="96"/>
      <c r="AW6" s="96"/>
      <c r="AX6" s="5"/>
      <c r="AY6" s="5"/>
      <c r="AZ6" s="5"/>
      <c r="BA6" s="96"/>
      <c r="BB6" s="96"/>
      <c r="BC6" s="97"/>
    </row>
    <row r="7" spans="1:55" ht="7" customHeight="1">
      <c r="B7" s="118"/>
      <c r="C7" s="98"/>
      <c r="D7" s="98"/>
      <c r="E7" s="5"/>
      <c r="F7" s="5"/>
      <c r="G7" s="5"/>
      <c r="H7" s="98"/>
      <c r="I7" s="98"/>
      <c r="J7" s="105"/>
      <c r="K7" s="108"/>
      <c r="L7" s="98"/>
      <c r="M7" s="98"/>
      <c r="N7" s="5"/>
      <c r="O7" s="5"/>
      <c r="P7" s="5"/>
      <c r="Q7" s="98"/>
      <c r="R7" s="98"/>
      <c r="S7" s="105"/>
      <c r="T7" s="108"/>
      <c r="U7" s="98"/>
      <c r="V7" s="98"/>
      <c r="W7" s="5"/>
      <c r="X7" s="5"/>
      <c r="Y7" s="5"/>
      <c r="Z7" s="98"/>
      <c r="AA7" s="98"/>
      <c r="AB7" s="105"/>
      <c r="AC7" s="108"/>
      <c r="AD7" s="98"/>
      <c r="AE7" s="98"/>
      <c r="AF7" s="5"/>
      <c r="AG7" s="5"/>
      <c r="AH7" s="5"/>
      <c r="AI7" s="98"/>
      <c r="AJ7" s="98"/>
      <c r="AK7" s="105"/>
      <c r="AL7" s="108"/>
      <c r="AM7" s="98"/>
      <c r="AN7" s="98"/>
      <c r="AO7" s="5"/>
      <c r="AP7" s="5"/>
      <c r="AQ7" s="5"/>
      <c r="AR7" s="98"/>
      <c r="AS7" s="98"/>
      <c r="AT7" s="105"/>
      <c r="AU7" s="108"/>
      <c r="AV7" s="98"/>
      <c r="AW7" s="98"/>
      <c r="AX7" s="5"/>
      <c r="AY7" s="5"/>
      <c r="AZ7" s="5"/>
      <c r="BA7" s="98"/>
      <c r="BB7" s="98"/>
      <c r="BC7" s="99"/>
    </row>
    <row r="8" spans="1:55" ht="7" customHeight="1">
      <c r="B8" s="116">
        <v>2</v>
      </c>
      <c r="C8" s="94"/>
      <c r="D8" s="94"/>
      <c r="E8" s="5"/>
      <c r="F8" s="5"/>
      <c r="G8" s="5"/>
      <c r="H8" s="94">
        <v>12</v>
      </c>
      <c r="I8" s="94"/>
      <c r="J8" s="103"/>
      <c r="K8" s="109">
        <v>22</v>
      </c>
      <c r="L8" s="94"/>
      <c r="M8" s="94"/>
      <c r="N8" s="5"/>
      <c r="O8" s="5"/>
      <c r="P8" s="5"/>
      <c r="Q8" s="100">
        <v>32</v>
      </c>
      <c r="R8" s="94"/>
      <c r="S8" s="103"/>
      <c r="T8" s="106">
        <v>42</v>
      </c>
      <c r="U8" s="94"/>
      <c r="V8" s="94"/>
      <c r="W8" s="5"/>
      <c r="X8" s="5"/>
      <c r="Y8" s="5"/>
      <c r="Z8" s="94">
        <v>52</v>
      </c>
      <c r="AA8" s="94"/>
      <c r="AB8" s="103"/>
      <c r="AC8" s="110">
        <v>62</v>
      </c>
      <c r="AD8" s="94"/>
      <c r="AE8" s="94"/>
      <c r="AF8" s="5"/>
      <c r="AG8" s="5"/>
      <c r="AH8" s="5"/>
      <c r="AI8" s="94">
        <v>72</v>
      </c>
      <c r="AJ8" s="94"/>
      <c r="AK8" s="103"/>
      <c r="AL8" s="106">
        <v>82</v>
      </c>
      <c r="AM8" s="94"/>
      <c r="AN8" s="94"/>
      <c r="AO8" s="5"/>
      <c r="AP8" s="5"/>
      <c r="AQ8" s="5"/>
      <c r="AR8" s="94">
        <v>92</v>
      </c>
      <c r="AS8" s="94"/>
      <c r="AT8" s="103"/>
      <c r="AU8" s="106">
        <v>102</v>
      </c>
      <c r="AV8" s="94"/>
      <c r="AW8" s="94"/>
      <c r="AX8" s="5"/>
      <c r="AY8" s="5"/>
      <c r="AZ8" s="5"/>
      <c r="BA8" s="94">
        <v>112</v>
      </c>
      <c r="BB8" s="94"/>
      <c r="BC8" s="95"/>
    </row>
    <row r="9" spans="1:55" ht="7" customHeight="1">
      <c r="A9" s="101" t="s">
        <v>132</v>
      </c>
      <c r="B9" s="117"/>
      <c r="C9" s="96"/>
      <c r="D9" s="96"/>
      <c r="E9" s="5"/>
      <c r="F9" s="5"/>
      <c r="G9" s="5"/>
      <c r="H9" s="96"/>
      <c r="I9" s="96"/>
      <c r="J9" s="104"/>
      <c r="K9" s="107"/>
      <c r="L9" s="96"/>
      <c r="M9" s="96"/>
      <c r="N9" s="5"/>
      <c r="O9" s="5"/>
      <c r="P9" s="5"/>
      <c r="Q9" s="96"/>
      <c r="R9" s="96"/>
      <c r="S9" s="104"/>
      <c r="T9" s="107"/>
      <c r="U9" s="96"/>
      <c r="V9" s="96"/>
      <c r="W9" s="5"/>
      <c r="X9" s="5"/>
      <c r="Y9" s="5"/>
      <c r="Z9" s="96"/>
      <c r="AA9" s="96"/>
      <c r="AB9" s="104"/>
      <c r="AC9" s="107"/>
      <c r="AD9" s="96"/>
      <c r="AE9" s="96"/>
      <c r="AF9" s="5"/>
      <c r="AG9" s="5"/>
      <c r="AH9" s="5"/>
      <c r="AI9" s="96"/>
      <c r="AJ9" s="96"/>
      <c r="AK9" s="104"/>
      <c r="AL9" s="107"/>
      <c r="AM9" s="96"/>
      <c r="AN9" s="96"/>
      <c r="AO9" s="5"/>
      <c r="AP9" s="5"/>
      <c r="AQ9" s="5"/>
      <c r="AR9" s="96"/>
      <c r="AS9" s="96"/>
      <c r="AT9" s="104"/>
      <c r="AU9" s="107"/>
      <c r="AV9" s="96"/>
      <c r="AW9" s="96"/>
      <c r="AX9" s="5"/>
      <c r="AY9" s="5"/>
      <c r="AZ9" s="5"/>
      <c r="BA9" s="96"/>
      <c r="BB9" s="96"/>
      <c r="BC9" s="97"/>
    </row>
    <row r="10" spans="1:55" ht="7" customHeight="1">
      <c r="A10" s="101"/>
      <c r="B10" s="118"/>
      <c r="C10" s="98"/>
      <c r="D10" s="98"/>
      <c r="E10" s="5"/>
      <c r="F10" s="5"/>
      <c r="G10" s="5"/>
      <c r="H10" s="98"/>
      <c r="I10" s="98"/>
      <c r="J10" s="105"/>
      <c r="K10" s="108"/>
      <c r="L10" s="98"/>
      <c r="M10" s="98"/>
      <c r="N10" s="5"/>
      <c r="O10" s="5"/>
      <c r="P10" s="5"/>
      <c r="Q10" s="98"/>
      <c r="R10" s="98"/>
      <c r="S10" s="105"/>
      <c r="T10" s="108"/>
      <c r="U10" s="98"/>
      <c r="V10" s="98"/>
      <c r="W10" s="5"/>
      <c r="X10" s="5"/>
      <c r="Y10" s="5"/>
      <c r="Z10" s="98"/>
      <c r="AA10" s="98"/>
      <c r="AB10" s="105"/>
      <c r="AC10" s="108"/>
      <c r="AD10" s="98"/>
      <c r="AE10" s="98"/>
      <c r="AF10" s="5"/>
      <c r="AG10" s="5"/>
      <c r="AH10" s="5"/>
      <c r="AI10" s="98"/>
      <c r="AJ10" s="98"/>
      <c r="AK10" s="105"/>
      <c r="AL10" s="108"/>
      <c r="AM10" s="98"/>
      <c r="AN10" s="98"/>
      <c r="AO10" s="5"/>
      <c r="AP10" s="5"/>
      <c r="AQ10" s="5"/>
      <c r="AR10" s="98"/>
      <c r="AS10" s="98"/>
      <c r="AT10" s="105"/>
      <c r="AU10" s="108"/>
      <c r="AV10" s="98"/>
      <c r="AW10" s="98"/>
      <c r="AX10" s="5"/>
      <c r="AY10" s="5"/>
      <c r="AZ10" s="5"/>
      <c r="BA10" s="98"/>
      <c r="BB10" s="98"/>
      <c r="BC10" s="99"/>
    </row>
    <row r="11" spans="1:55" ht="7" customHeight="1">
      <c r="A11" s="101"/>
      <c r="B11" s="119">
        <v>3</v>
      </c>
      <c r="C11" s="94"/>
      <c r="D11" s="94"/>
      <c r="E11" s="5"/>
      <c r="F11" s="5"/>
      <c r="G11" s="5"/>
      <c r="H11" s="94">
        <v>13</v>
      </c>
      <c r="I11" s="94"/>
      <c r="J11" s="103"/>
      <c r="K11" s="106">
        <v>23</v>
      </c>
      <c r="L11" s="94"/>
      <c r="M11" s="94"/>
      <c r="N11" s="5"/>
      <c r="O11" s="5"/>
      <c r="P11" s="5"/>
      <c r="Q11" s="93">
        <v>33</v>
      </c>
      <c r="R11" s="94"/>
      <c r="S11" s="103"/>
      <c r="T11" s="106">
        <v>43</v>
      </c>
      <c r="U11" s="94"/>
      <c r="V11" s="94"/>
      <c r="W11" s="5"/>
      <c r="X11" s="5"/>
      <c r="Y11" s="5"/>
      <c r="Z11" s="100">
        <v>53</v>
      </c>
      <c r="AA11" s="94"/>
      <c r="AB11" s="103"/>
      <c r="AC11" s="106">
        <v>63</v>
      </c>
      <c r="AD11" s="94"/>
      <c r="AE11" s="94"/>
      <c r="AF11" s="5"/>
      <c r="AG11" s="5"/>
      <c r="AH11" s="5"/>
      <c r="AI11" s="94">
        <v>73</v>
      </c>
      <c r="AJ11" s="94"/>
      <c r="AK11" s="103"/>
      <c r="AL11" s="106">
        <v>83</v>
      </c>
      <c r="AM11" s="94"/>
      <c r="AN11" s="94"/>
      <c r="AO11" s="5"/>
      <c r="AP11" s="5"/>
      <c r="AQ11" s="5"/>
      <c r="AR11" s="94">
        <v>93</v>
      </c>
      <c r="AS11" s="94"/>
      <c r="AT11" s="103"/>
      <c r="AU11" s="109">
        <v>103</v>
      </c>
      <c r="AV11" s="94"/>
      <c r="AW11" s="94"/>
      <c r="AX11" s="5"/>
      <c r="AY11" s="5"/>
      <c r="AZ11" s="5"/>
      <c r="BA11" s="94">
        <v>113</v>
      </c>
      <c r="BB11" s="94"/>
      <c r="BC11" s="95"/>
    </row>
    <row r="12" spans="1:55" ht="7" customHeight="1">
      <c r="A12" s="101"/>
      <c r="B12" s="117"/>
      <c r="C12" s="96"/>
      <c r="D12" s="96"/>
      <c r="E12" s="5"/>
      <c r="F12" s="5"/>
      <c r="G12" s="5"/>
      <c r="H12" s="96"/>
      <c r="I12" s="96"/>
      <c r="J12" s="104"/>
      <c r="K12" s="107"/>
      <c r="L12" s="96"/>
      <c r="M12" s="96"/>
      <c r="N12" s="5"/>
      <c r="O12" s="5"/>
      <c r="P12" s="5"/>
      <c r="Q12" s="96"/>
      <c r="R12" s="96"/>
      <c r="S12" s="104"/>
      <c r="T12" s="107"/>
      <c r="U12" s="96"/>
      <c r="V12" s="96"/>
      <c r="W12" s="5"/>
      <c r="X12" s="5"/>
      <c r="Y12" s="5"/>
      <c r="Z12" s="96"/>
      <c r="AA12" s="96"/>
      <c r="AB12" s="104"/>
      <c r="AC12" s="107"/>
      <c r="AD12" s="96"/>
      <c r="AE12" s="96"/>
      <c r="AF12" s="5"/>
      <c r="AG12" s="5"/>
      <c r="AH12" s="5"/>
      <c r="AI12" s="96"/>
      <c r="AJ12" s="96"/>
      <c r="AK12" s="104"/>
      <c r="AL12" s="107"/>
      <c r="AM12" s="96"/>
      <c r="AN12" s="96"/>
      <c r="AO12" s="5"/>
      <c r="AP12" s="5"/>
      <c r="AQ12" s="5"/>
      <c r="AR12" s="96"/>
      <c r="AS12" s="96"/>
      <c r="AT12" s="104"/>
      <c r="AU12" s="107"/>
      <c r="AV12" s="96"/>
      <c r="AW12" s="96"/>
      <c r="AX12" s="5"/>
      <c r="AY12" s="5"/>
      <c r="AZ12" s="5"/>
      <c r="BA12" s="96"/>
      <c r="BB12" s="96"/>
      <c r="BC12" s="97"/>
    </row>
    <row r="13" spans="1:55" ht="7" customHeight="1">
      <c r="B13" s="118"/>
      <c r="C13" s="98"/>
      <c r="D13" s="98"/>
      <c r="E13" s="5"/>
      <c r="F13" s="5"/>
      <c r="G13" s="5"/>
      <c r="H13" s="98"/>
      <c r="I13" s="98"/>
      <c r="J13" s="105"/>
      <c r="K13" s="108"/>
      <c r="L13" s="98"/>
      <c r="M13" s="98"/>
      <c r="N13" s="5"/>
      <c r="O13" s="5"/>
      <c r="P13" s="5"/>
      <c r="Q13" s="98"/>
      <c r="R13" s="98"/>
      <c r="S13" s="105"/>
      <c r="T13" s="108"/>
      <c r="U13" s="98"/>
      <c r="V13" s="98"/>
      <c r="W13" s="5"/>
      <c r="X13" s="5"/>
      <c r="Y13" s="5"/>
      <c r="Z13" s="98"/>
      <c r="AA13" s="98"/>
      <c r="AB13" s="105"/>
      <c r="AC13" s="108"/>
      <c r="AD13" s="98"/>
      <c r="AE13" s="98"/>
      <c r="AF13" s="5"/>
      <c r="AG13" s="5"/>
      <c r="AH13" s="5"/>
      <c r="AI13" s="98"/>
      <c r="AJ13" s="98"/>
      <c r="AK13" s="105"/>
      <c r="AL13" s="108"/>
      <c r="AM13" s="98"/>
      <c r="AN13" s="98"/>
      <c r="AO13" s="5"/>
      <c r="AP13" s="5"/>
      <c r="AQ13" s="5"/>
      <c r="AR13" s="98"/>
      <c r="AS13" s="98"/>
      <c r="AT13" s="105"/>
      <c r="AU13" s="108"/>
      <c r="AV13" s="98"/>
      <c r="AW13" s="98"/>
      <c r="AX13" s="5"/>
      <c r="AY13" s="5"/>
      <c r="AZ13" s="5"/>
      <c r="BA13" s="98"/>
      <c r="BB13" s="98"/>
      <c r="BC13" s="99"/>
    </row>
    <row r="14" spans="1:55" ht="7" customHeight="1">
      <c r="B14" s="116">
        <v>4</v>
      </c>
      <c r="C14" s="94"/>
      <c r="D14" s="94"/>
      <c r="E14" s="5"/>
      <c r="F14" s="5"/>
      <c r="G14" s="5"/>
      <c r="H14" s="94">
        <v>14</v>
      </c>
      <c r="I14" s="94"/>
      <c r="J14" s="103"/>
      <c r="K14" s="106">
        <v>24</v>
      </c>
      <c r="L14" s="94"/>
      <c r="M14" s="94"/>
      <c r="N14" s="5"/>
      <c r="O14" s="5"/>
      <c r="P14" s="5"/>
      <c r="Q14" s="94">
        <v>34</v>
      </c>
      <c r="R14" s="94"/>
      <c r="S14" s="103"/>
      <c r="T14" s="106">
        <v>44</v>
      </c>
      <c r="U14" s="94"/>
      <c r="V14" s="94"/>
      <c r="W14" s="5"/>
      <c r="X14" s="5"/>
      <c r="Y14" s="5"/>
      <c r="Z14" s="94">
        <v>54</v>
      </c>
      <c r="AA14" s="94"/>
      <c r="AB14" s="103"/>
      <c r="AC14" s="106">
        <v>64</v>
      </c>
      <c r="AD14" s="94"/>
      <c r="AE14" s="94"/>
      <c r="AF14" s="5"/>
      <c r="AG14" s="5"/>
      <c r="AH14" s="5"/>
      <c r="AI14" s="93">
        <v>74</v>
      </c>
      <c r="AJ14" s="94"/>
      <c r="AK14" s="103"/>
      <c r="AL14" s="106">
        <v>84</v>
      </c>
      <c r="AM14" s="94"/>
      <c r="AN14" s="94"/>
      <c r="AO14" s="5"/>
      <c r="AP14" s="5"/>
      <c r="AQ14" s="5"/>
      <c r="AR14" s="94">
        <v>94</v>
      </c>
      <c r="AS14" s="94"/>
      <c r="AT14" s="103"/>
      <c r="AU14" s="110">
        <v>104</v>
      </c>
      <c r="AV14" s="94"/>
      <c r="AW14" s="94"/>
      <c r="AX14" s="5"/>
      <c r="AY14" s="5"/>
      <c r="AZ14" s="5"/>
      <c r="BA14" s="102">
        <v>114</v>
      </c>
      <c r="BB14" s="94"/>
      <c r="BC14" s="95"/>
    </row>
    <row r="15" spans="1:55" ht="7" customHeight="1">
      <c r="B15" s="117"/>
      <c r="C15" s="96"/>
      <c r="D15" s="96"/>
      <c r="E15" s="5"/>
      <c r="F15" s="5"/>
      <c r="G15" s="5"/>
      <c r="H15" s="96"/>
      <c r="I15" s="96"/>
      <c r="J15" s="104"/>
      <c r="K15" s="107"/>
      <c r="L15" s="96"/>
      <c r="M15" s="96"/>
      <c r="N15" s="5"/>
      <c r="O15" s="5"/>
      <c r="P15" s="5"/>
      <c r="Q15" s="96"/>
      <c r="R15" s="96"/>
      <c r="S15" s="104"/>
      <c r="T15" s="107"/>
      <c r="U15" s="96"/>
      <c r="V15" s="96"/>
      <c r="W15" s="5"/>
      <c r="X15" s="5"/>
      <c r="Y15" s="5"/>
      <c r="Z15" s="96"/>
      <c r="AA15" s="96"/>
      <c r="AB15" s="104"/>
      <c r="AC15" s="107"/>
      <c r="AD15" s="96"/>
      <c r="AE15" s="96"/>
      <c r="AF15" s="5"/>
      <c r="AG15" s="5"/>
      <c r="AH15" s="5"/>
      <c r="AI15" s="96"/>
      <c r="AJ15" s="96"/>
      <c r="AK15" s="104"/>
      <c r="AL15" s="107"/>
      <c r="AM15" s="96"/>
      <c r="AN15" s="96"/>
      <c r="AO15" s="5"/>
      <c r="AP15" s="5"/>
      <c r="AQ15" s="5"/>
      <c r="AR15" s="96"/>
      <c r="AS15" s="96"/>
      <c r="AT15" s="104"/>
      <c r="AU15" s="107"/>
      <c r="AV15" s="96"/>
      <c r="AW15" s="96"/>
      <c r="AX15" s="5"/>
      <c r="AY15" s="5"/>
      <c r="AZ15" s="5"/>
      <c r="BA15" s="96"/>
      <c r="BB15" s="96"/>
      <c r="BC15" s="97"/>
    </row>
    <row r="16" spans="1:55" ht="7" customHeight="1">
      <c r="B16" s="118"/>
      <c r="C16" s="98"/>
      <c r="D16" s="98"/>
      <c r="E16" s="5"/>
      <c r="F16" s="5"/>
      <c r="G16" s="5"/>
      <c r="H16" s="98"/>
      <c r="I16" s="98"/>
      <c r="J16" s="105"/>
      <c r="K16" s="108"/>
      <c r="L16" s="98"/>
      <c r="M16" s="98"/>
      <c r="N16" s="5"/>
      <c r="O16" s="5"/>
      <c r="P16" s="5"/>
      <c r="Q16" s="98"/>
      <c r="R16" s="98"/>
      <c r="S16" s="105"/>
      <c r="T16" s="108"/>
      <c r="U16" s="98"/>
      <c r="V16" s="98"/>
      <c r="W16" s="5"/>
      <c r="X16" s="5"/>
      <c r="Y16" s="5"/>
      <c r="Z16" s="98"/>
      <c r="AA16" s="98"/>
      <c r="AB16" s="105"/>
      <c r="AC16" s="108"/>
      <c r="AD16" s="98"/>
      <c r="AE16" s="98"/>
      <c r="AF16" s="5"/>
      <c r="AG16" s="5"/>
      <c r="AH16" s="5"/>
      <c r="AI16" s="98"/>
      <c r="AJ16" s="98"/>
      <c r="AK16" s="105"/>
      <c r="AL16" s="108"/>
      <c r="AM16" s="98"/>
      <c r="AN16" s="98"/>
      <c r="AO16" s="5"/>
      <c r="AP16" s="5"/>
      <c r="AQ16" s="5"/>
      <c r="AR16" s="98"/>
      <c r="AS16" s="98"/>
      <c r="AT16" s="105"/>
      <c r="AU16" s="108"/>
      <c r="AV16" s="98"/>
      <c r="AW16" s="98"/>
      <c r="AX16" s="5"/>
      <c r="AY16" s="5"/>
      <c r="AZ16" s="5"/>
      <c r="BA16" s="98"/>
      <c r="BB16" s="98"/>
      <c r="BC16" s="99"/>
    </row>
    <row r="17" spans="2:55" ht="7" customHeight="1">
      <c r="B17" s="116">
        <v>5</v>
      </c>
      <c r="C17" s="94"/>
      <c r="D17" s="94"/>
      <c r="E17" s="5"/>
      <c r="F17" s="5"/>
      <c r="G17" s="5"/>
      <c r="H17" s="93">
        <v>15</v>
      </c>
      <c r="I17" s="94"/>
      <c r="J17" s="103"/>
      <c r="K17" s="106">
        <v>25</v>
      </c>
      <c r="L17" s="94"/>
      <c r="M17" s="94"/>
      <c r="N17" s="5"/>
      <c r="O17" s="5"/>
      <c r="P17" s="5"/>
      <c r="Q17" s="120">
        <v>35</v>
      </c>
      <c r="R17" s="94"/>
      <c r="S17" s="103"/>
      <c r="T17" s="106">
        <v>45</v>
      </c>
      <c r="U17" s="94"/>
      <c r="V17" s="94"/>
      <c r="W17" s="5"/>
      <c r="X17" s="5"/>
      <c r="Y17" s="5"/>
      <c r="Z17" s="93">
        <v>55</v>
      </c>
      <c r="AA17" s="94"/>
      <c r="AB17" s="103"/>
      <c r="AC17" s="106">
        <v>65</v>
      </c>
      <c r="AD17" s="94"/>
      <c r="AE17" s="94"/>
      <c r="AF17" s="5"/>
      <c r="AG17" s="5"/>
      <c r="AH17" s="5"/>
      <c r="AI17" s="94">
        <v>75</v>
      </c>
      <c r="AJ17" s="94"/>
      <c r="AK17" s="103"/>
      <c r="AL17" s="106">
        <v>85</v>
      </c>
      <c r="AM17" s="94"/>
      <c r="AN17" s="94"/>
      <c r="AO17" s="5"/>
      <c r="AP17" s="5"/>
      <c r="AQ17" s="5"/>
      <c r="AR17" s="94">
        <v>95</v>
      </c>
      <c r="AS17" s="94"/>
      <c r="AT17" s="103"/>
      <c r="AU17" s="106">
        <v>105</v>
      </c>
      <c r="AV17" s="94"/>
      <c r="AW17" s="94"/>
      <c r="AX17" s="5"/>
      <c r="AY17" s="5"/>
      <c r="AZ17" s="5"/>
      <c r="BA17" s="100">
        <v>115</v>
      </c>
      <c r="BB17" s="94"/>
      <c r="BC17" s="95"/>
    </row>
    <row r="18" spans="2:55" ht="7" customHeight="1">
      <c r="B18" s="117"/>
      <c r="C18" s="96"/>
      <c r="D18" s="96"/>
      <c r="E18" s="5"/>
      <c r="F18" s="5"/>
      <c r="G18" s="5"/>
      <c r="H18" s="96"/>
      <c r="I18" s="96"/>
      <c r="J18" s="104"/>
      <c r="K18" s="107"/>
      <c r="L18" s="96"/>
      <c r="M18" s="96"/>
      <c r="N18" s="5"/>
      <c r="O18" s="5"/>
      <c r="P18" s="5"/>
      <c r="Q18" s="96"/>
      <c r="R18" s="96"/>
      <c r="S18" s="104"/>
      <c r="T18" s="107"/>
      <c r="U18" s="96"/>
      <c r="V18" s="96"/>
      <c r="W18" s="5"/>
      <c r="X18" s="5"/>
      <c r="Y18" s="5"/>
      <c r="Z18" s="96"/>
      <c r="AA18" s="96"/>
      <c r="AB18" s="104"/>
      <c r="AC18" s="107"/>
      <c r="AD18" s="96"/>
      <c r="AE18" s="96"/>
      <c r="AF18" s="5"/>
      <c r="AG18" s="5"/>
      <c r="AH18" s="5"/>
      <c r="AI18" s="96"/>
      <c r="AJ18" s="96"/>
      <c r="AK18" s="104"/>
      <c r="AL18" s="107"/>
      <c r="AM18" s="96"/>
      <c r="AN18" s="96"/>
      <c r="AO18" s="5"/>
      <c r="AP18" s="5"/>
      <c r="AQ18" s="5"/>
      <c r="AR18" s="96"/>
      <c r="AS18" s="96"/>
      <c r="AT18" s="104"/>
      <c r="AU18" s="107"/>
      <c r="AV18" s="96"/>
      <c r="AW18" s="96"/>
      <c r="AX18" s="5"/>
      <c r="AY18" s="5"/>
      <c r="AZ18" s="5"/>
      <c r="BA18" s="96"/>
      <c r="BB18" s="96"/>
      <c r="BC18" s="97"/>
    </row>
    <row r="19" spans="2:55" ht="7" customHeight="1">
      <c r="B19" s="118"/>
      <c r="C19" s="98"/>
      <c r="D19" s="98"/>
      <c r="E19" s="5"/>
      <c r="F19" s="5"/>
      <c r="G19" s="5"/>
      <c r="H19" s="98"/>
      <c r="I19" s="98"/>
      <c r="J19" s="105"/>
      <c r="K19" s="108"/>
      <c r="L19" s="98"/>
      <c r="M19" s="98"/>
      <c r="N19" s="5"/>
      <c r="O19" s="5"/>
      <c r="P19" s="5"/>
      <c r="Q19" s="98"/>
      <c r="R19" s="98"/>
      <c r="S19" s="105"/>
      <c r="T19" s="108"/>
      <c r="U19" s="98"/>
      <c r="V19" s="98"/>
      <c r="W19" s="5"/>
      <c r="X19" s="5"/>
      <c r="Y19" s="5"/>
      <c r="Z19" s="98"/>
      <c r="AA19" s="98"/>
      <c r="AB19" s="105"/>
      <c r="AC19" s="108"/>
      <c r="AD19" s="98"/>
      <c r="AE19" s="98"/>
      <c r="AF19" s="5"/>
      <c r="AG19" s="5"/>
      <c r="AH19" s="5"/>
      <c r="AI19" s="98"/>
      <c r="AJ19" s="98"/>
      <c r="AK19" s="105"/>
      <c r="AL19" s="108"/>
      <c r="AM19" s="98"/>
      <c r="AN19" s="98"/>
      <c r="AO19" s="5"/>
      <c r="AP19" s="5"/>
      <c r="AQ19" s="5"/>
      <c r="AR19" s="98"/>
      <c r="AS19" s="98"/>
      <c r="AT19" s="105"/>
      <c r="AU19" s="108"/>
      <c r="AV19" s="98"/>
      <c r="AW19" s="98"/>
      <c r="AX19" s="5"/>
      <c r="AY19" s="5"/>
      <c r="AZ19" s="5"/>
      <c r="BA19" s="98"/>
      <c r="BB19" s="98"/>
      <c r="BC19" s="99"/>
    </row>
    <row r="20" spans="2:55" ht="7" customHeight="1">
      <c r="B20" s="116">
        <v>6</v>
      </c>
      <c r="C20" s="94"/>
      <c r="D20" s="94"/>
      <c r="E20" s="5"/>
      <c r="F20" s="5"/>
      <c r="G20" s="5"/>
      <c r="H20" s="94">
        <v>16</v>
      </c>
      <c r="I20" s="94"/>
      <c r="J20" s="103"/>
      <c r="K20" s="106">
        <v>26</v>
      </c>
      <c r="L20" s="94"/>
      <c r="M20" s="94"/>
      <c r="N20" s="5"/>
      <c r="O20" s="5"/>
      <c r="P20" s="5"/>
      <c r="Q20" s="94">
        <v>36</v>
      </c>
      <c r="R20" s="94"/>
      <c r="S20" s="103"/>
      <c r="T20" s="106">
        <v>46</v>
      </c>
      <c r="U20" s="94"/>
      <c r="V20" s="94"/>
      <c r="W20" s="5"/>
      <c r="X20" s="5"/>
      <c r="Y20" s="5"/>
      <c r="Z20" s="94">
        <v>56</v>
      </c>
      <c r="AA20" s="94"/>
      <c r="AB20" s="103"/>
      <c r="AC20" s="111">
        <v>66</v>
      </c>
      <c r="AD20" s="94"/>
      <c r="AE20" s="94"/>
      <c r="AF20" s="5"/>
      <c r="AG20" s="5"/>
      <c r="AH20" s="5"/>
      <c r="AI20" s="94">
        <v>76</v>
      </c>
      <c r="AJ20" s="94"/>
      <c r="AK20" s="103"/>
      <c r="AL20" s="109">
        <v>86</v>
      </c>
      <c r="AM20" s="94"/>
      <c r="AN20" s="94"/>
      <c r="AO20" s="5"/>
      <c r="AP20" s="5"/>
      <c r="AQ20" s="5"/>
      <c r="AR20" s="94">
        <v>96</v>
      </c>
      <c r="AS20" s="94"/>
      <c r="AT20" s="103"/>
      <c r="AU20" s="106">
        <v>106</v>
      </c>
      <c r="AV20" s="94"/>
      <c r="AW20" s="94"/>
      <c r="AX20" s="5"/>
      <c r="AY20" s="5"/>
      <c r="AZ20" s="5"/>
      <c r="BA20" s="102">
        <v>116</v>
      </c>
      <c r="BB20" s="94"/>
      <c r="BC20" s="95"/>
    </row>
    <row r="21" spans="2:55" ht="7" customHeight="1">
      <c r="B21" s="117"/>
      <c r="C21" s="96"/>
      <c r="D21" s="96"/>
      <c r="E21" s="5"/>
      <c r="F21" s="5"/>
      <c r="G21" s="5"/>
      <c r="H21" s="96"/>
      <c r="I21" s="96"/>
      <c r="J21" s="104"/>
      <c r="K21" s="107"/>
      <c r="L21" s="96"/>
      <c r="M21" s="96"/>
      <c r="N21" s="5"/>
      <c r="O21" s="5"/>
      <c r="P21" s="5"/>
      <c r="Q21" s="96"/>
      <c r="R21" s="96"/>
      <c r="S21" s="104"/>
      <c r="T21" s="107"/>
      <c r="U21" s="96"/>
      <c r="V21" s="96"/>
      <c r="W21" s="5"/>
      <c r="X21" s="5"/>
      <c r="Y21" s="5"/>
      <c r="Z21" s="96"/>
      <c r="AA21" s="96"/>
      <c r="AB21" s="104"/>
      <c r="AC21" s="107"/>
      <c r="AD21" s="96"/>
      <c r="AE21" s="96"/>
      <c r="AF21" s="5"/>
      <c r="AG21" s="5"/>
      <c r="AH21" s="5"/>
      <c r="AI21" s="96"/>
      <c r="AJ21" s="96"/>
      <c r="AK21" s="104"/>
      <c r="AL21" s="107"/>
      <c r="AM21" s="96"/>
      <c r="AN21" s="96"/>
      <c r="AO21" s="5"/>
      <c r="AP21" s="5"/>
      <c r="AQ21" s="5"/>
      <c r="AR21" s="96"/>
      <c r="AS21" s="96"/>
      <c r="AT21" s="104"/>
      <c r="AU21" s="107"/>
      <c r="AV21" s="96"/>
      <c r="AW21" s="96"/>
      <c r="AX21" s="5"/>
      <c r="AY21" s="5"/>
      <c r="AZ21" s="5"/>
      <c r="BA21" s="96"/>
      <c r="BB21" s="96"/>
      <c r="BC21" s="97"/>
    </row>
    <row r="22" spans="2:55" ht="7" customHeight="1">
      <c r="B22" s="118"/>
      <c r="C22" s="98"/>
      <c r="D22" s="98"/>
      <c r="E22" s="5"/>
      <c r="F22" s="5"/>
      <c r="G22" s="5"/>
      <c r="H22" s="98"/>
      <c r="I22" s="98"/>
      <c r="J22" s="105"/>
      <c r="K22" s="108"/>
      <c r="L22" s="98"/>
      <c r="M22" s="98"/>
      <c r="N22" s="5"/>
      <c r="O22" s="5"/>
      <c r="P22" s="5"/>
      <c r="Q22" s="98"/>
      <c r="R22" s="98"/>
      <c r="S22" s="105"/>
      <c r="T22" s="108"/>
      <c r="U22" s="98"/>
      <c r="V22" s="98"/>
      <c r="W22" s="5"/>
      <c r="X22" s="5"/>
      <c r="Y22" s="5"/>
      <c r="Z22" s="98"/>
      <c r="AA22" s="98"/>
      <c r="AB22" s="105"/>
      <c r="AC22" s="108"/>
      <c r="AD22" s="98"/>
      <c r="AE22" s="98"/>
      <c r="AF22" s="5"/>
      <c r="AG22" s="5"/>
      <c r="AH22" s="5"/>
      <c r="AI22" s="98"/>
      <c r="AJ22" s="98"/>
      <c r="AK22" s="105"/>
      <c r="AL22" s="108"/>
      <c r="AM22" s="98"/>
      <c r="AN22" s="98"/>
      <c r="AO22" s="5"/>
      <c r="AP22" s="5"/>
      <c r="AQ22" s="5"/>
      <c r="AR22" s="98"/>
      <c r="AS22" s="98"/>
      <c r="AT22" s="105"/>
      <c r="AU22" s="108"/>
      <c r="AV22" s="98"/>
      <c r="AW22" s="98"/>
      <c r="AX22" s="5"/>
      <c r="AY22" s="5"/>
      <c r="AZ22" s="5"/>
      <c r="BA22" s="98"/>
      <c r="BB22" s="98"/>
      <c r="BC22" s="99"/>
    </row>
    <row r="23" spans="2:55" ht="7" customHeight="1">
      <c r="B23" s="116">
        <v>7</v>
      </c>
      <c r="C23" s="94"/>
      <c r="D23" s="94"/>
      <c r="E23" s="5"/>
      <c r="F23" s="5"/>
      <c r="G23" s="5"/>
      <c r="H23" s="100">
        <v>17</v>
      </c>
      <c r="I23" s="94"/>
      <c r="J23" s="103"/>
      <c r="K23" s="112">
        <v>27</v>
      </c>
      <c r="L23" s="94"/>
      <c r="M23" s="94"/>
      <c r="N23" s="5"/>
      <c r="O23" s="5"/>
      <c r="P23" s="5"/>
      <c r="Q23" s="94">
        <v>37</v>
      </c>
      <c r="R23" s="94"/>
      <c r="S23" s="103"/>
      <c r="T23" s="112">
        <v>47</v>
      </c>
      <c r="U23" s="94"/>
      <c r="V23" s="94"/>
      <c r="W23" s="5"/>
      <c r="X23" s="5"/>
      <c r="Y23" s="5"/>
      <c r="Z23" s="94">
        <v>57</v>
      </c>
      <c r="AA23" s="94"/>
      <c r="AB23" s="103"/>
      <c r="AC23" s="110">
        <v>67</v>
      </c>
      <c r="AD23" s="94"/>
      <c r="AE23" s="94"/>
      <c r="AF23" s="5"/>
      <c r="AG23" s="5"/>
      <c r="AH23" s="5"/>
      <c r="AI23" s="94">
        <v>77</v>
      </c>
      <c r="AJ23" s="94"/>
      <c r="AK23" s="103"/>
      <c r="AL23" s="106">
        <v>87</v>
      </c>
      <c r="AM23" s="94"/>
      <c r="AN23" s="94"/>
      <c r="AO23" s="5"/>
      <c r="AP23" s="5"/>
      <c r="AQ23" s="5"/>
      <c r="AR23" s="94">
        <v>97</v>
      </c>
      <c r="AS23" s="94"/>
      <c r="AT23" s="103"/>
      <c r="AU23" s="106">
        <v>107</v>
      </c>
      <c r="AV23" s="94"/>
      <c r="AW23" s="94"/>
      <c r="AX23" s="5"/>
      <c r="AY23" s="5"/>
      <c r="AZ23" s="5"/>
      <c r="BA23" s="94">
        <v>117</v>
      </c>
      <c r="BB23" s="94"/>
      <c r="BC23" s="95"/>
    </row>
    <row r="24" spans="2:55" ht="7" customHeight="1">
      <c r="B24" s="117"/>
      <c r="C24" s="96"/>
      <c r="D24" s="96"/>
      <c r="E24" s="5"/>
      <c r="F24" s="89"/>
      <c r="G24" s="5"/>
      <c r="H24" s="96"/>
      <c r="I24" s="96"/>
      <c r="J24" s="104"/>
      <c r="K24" s="107"/>
      <c r="L24" s="96"/>
      <c r="M24" s="96"/>
      <c r="N24" s="5"/>
      <c r="O24" s="5"/>
      <c r="P24" s="5"/>
      <c r="Q24" s="96"/>
      <c r="R24" s="96"/>
      <c r="S24" s="104"/>
      <c r="T24" s="107"/>
      <c r="U24" s="96"/>
      <c r="V24" s="96"/>
      <c r="W24" s="5"/>
      <c r="X24" s="5"/>
      <c r="Y24" s="5"/>
      <c r="Z24" s="96"/>
      <c r="AA24" s="96"/>
      <c r="AB24" s="104"/>
      <c r="AC24" s="107"/>
      <c r="AD24" s="96"/>
      <c r="AE24" s="96"/>
      <c r="AF24" s="5"/>
      <c r="AG24" s="5"/>
      <c r="AH24" s="5"/>
      <c r="AI24" s="96"/>
      <c r="AJ24" s="96"/>
      <c r="AK24" s="104"/>
      <c r="AL24" s="107"/>
      <c r="AM24" s="96"/>
      <c r="AN24" s="96"/>
      <c r="AO24" s="5"/>
      <c r="AP24" s="5"/>
      <c r="AQ24" s="5"/>
      <c r="AR24" s="96"/>
      <c r="AS24" s="96"/>
      <c r="AT24" s="104"/>
      <c r="AU24" s="107"/>
      <c r="AV24" s="96"/>
      <c r="AW24" s="96"/>
      <c r="AX24" s="5"/>
      <c r="AY24" s="5"/>
      <c r="AZ24" s="5"/>
      <c r="BA24" s="96"/>
      <c r="BB24" s="96"/>
      <c r="BC24" s="97"/>
    </row>
    <row r="25" spans="2:55" ht="7" customHeight="1">
      <c r="B25" s="118"/>
      <c r="C25" s="98"/>
      <c r="D25" s="98"/>
      <c r="E25" s="5"/>
      <c r="F25" s="5"/>
      <c r="G25" s="5"/>
      <c r="H25" s="98"/>
      <c r="I25" s="98"/>
      <c r="J25" s="105"/>
      <c r="K25" s="108"/>
      <c r="L25" s="98"/>
      <c r="M25" s="98"/>
      <c r="N25" s="5"/>
      <c r="O25" s="5"/>
      <c r="P25" s="5"/>
      <c r="Q25" s="98"/>
      <c r="R25" s="98"/>
      <c r="S25" s="105"/>
      <c r="T25" s="108"/>
      <c r="U25" s="98"/>
      <c r="V25" s="98"/>
      <c r="W25" s="5"/>
      <c r="X25" s="5"/>
      <c r="Y25" s="5"/>
      <c r="Z25" s="98"/>
      <c r="AA25" s="98"/>
      <c r="AB25" s="105"/>
      <c r="AC25" s="108"/>
      <c r="AD25" s="98"/>
      <c r="AE25" s="98"/>
      <c r="AF25" s="5"/>
      <c r="AG25" s="5"/>
      <c r="AH25" s="5"/>
      <c r="AI25" s="98"/>
      <c r="AJ25" s="98"/>
      <c r="AK25" s="105"/>
      <c r="AL25" s="108"/>
      <c r="AM25" s="98"/>
      <c r="AN25" s="98"/>
      <c r="AO25" s="5"/>
      <c r="AP25" s="5"/>
      <c r="AQ25" s="5"/>
      <c r="AR25" s="98"/>
      <c r="AS25" s="98"/>
      <c r="AT25" s="105"/>
      <c r="AU25" s="108"/>
      <c r="AV25" s="98"/>
      <c r="AW25" s="98"/>
      <c r="AX25" s="5"/>
      <c r="AY25" s="5"/>
      <c r="AZ25" s="5"/>
      <c r="BA25" s="98"/>
      <c r="BB25" s="98"/>
      <c r="BC25" s="99"/>
    </row>
    <row r="26" spans="2:55" ht="7" customHeight="1">
      <c r="B26" s="116">
        <v>8</v>
      </c>
      <c r="C26" s="94"/>
      <c r="D26" s="94"/>
      <c r="E26" s="5"/>
      <c r="F26" s="5"/>
      <c r="G26" s="5"/>
      <c r="H26" s="94">
        <v>18</v>
      </c>
      <c r="I26" s="94"/>
      <c r="J26" s="103"/>
      <c r="K26" s="109">
        <v>28</v>
      </c>
      <c r="L26" s="94"/>
      <c r="M26" s="94"/>
      <c r="N26" s="5"/>
      <c r="O26" s="5"/>
      <c r="P26" s="5"/>
      <c r="Q26" s="94">
        <v>38</v>
      </c>
      <c r="R26" s="94"/>
      <c r="S26" s="103"/>
      <c r="T26" s="106">
        <v>48</v>
      </c>
      <c r="U26" s="94"/>
      <c r="V26" s="94"/>
      <c r="W26" s="5"/>
      <c r="X26" s="5"/>
      <c r="Y26" s="5"/>
      <c r="Z26" s="94">
        <v>58</v>
      </c>
      <c r="AA26" s="94"/>
      <c r="AB26" s="103"/>
      <c r="AC26" s="106">
        <v>68</v>
      </c>
      <c r="AD26" s="94"/>
      <c r="AE26" s="94"/>
      <c r="AF26" s="5"/>
      <c r="AG26" s="5"/>
      <c r="AH26" s="5"/>
      <c r="AI26" s="94">
        <v>78</v>
      </c>
      <c r="AJ26" s="94"/>
      <c r="AK26" s="103"/>
      <c r="AL26" s="106">
        <v>88</v>
      </c>
      <c r="AM26" s="94"/>
      <c r="AN26" s="94"/>
      <c r="AO26" s="5"/>
      <c r="AP26" s="5"/>
      <c r="AQ26" s="5"/>
      <c r="AR26" s="94">
        <v>98</v>
      </c>
      <c r="AS26" s="94"/>
      <c r="AT26" s="103"/>
      <c r="AU26" s="106">
        <v>108</v>
      </c>
      <c r="AV26" s="94"/>
      <c r="AW26" s="94"/>
      <c r="AX26" s="5"/>
      <c r="AY26" s="5"/>
      <c r="AZ26" s="5"/>
      <c r="BA26" s="93">
        <v>118</v>
      </c>
      <c r="BB26" s="94"/>
      <c r="BC26" s="95"/>
    </row>
    <row r="27" spans="2:55" ht="7" customHeight="1">
      <c r="B27" s="117"/>
      <c r="C27" s="96"/>
      <c r="D27" s="96"/>
      <c r="E27" s="5"/>
      <c r="F27" s="5"/>
      <c r="G27" s="5"/>
      <c r="H27" s="96"/>
      <c r="I27" s="96"/>
      <c r="J27" s="104"/>
      <c r="K27" s="107"/>
      <c r="L27" s="96"/>
      <c r="M27" s="96"/>
      <c r="N27" s="5"/>
      <c r="O27" s="5"/>
      <c r="P27" s="5"/>
      <c r="Q27" s="96"/>
      <c r="R27" s="96"/>
      <c r="S27" s="104"/>
      <c r="T27" s="107"/>
      <c r="U27" s="96"/>
      <c r="V27" s="96"/>
      <c r="W27" s="5"/>
      <c r="X27" s="5"/>
      <c r="Y27" s="5"/>
      <c r="Z27" s="96"/>
      <c r="AA27" s="96"/>
      <c r="AB27" s="104"/>
      <c r="AC27" s="107"/>
      <c r="AD27" s="96"/>
      <c r="AE27" s="96"/>
      <c r="AF27" s="5"/>
      <c r="AG27" s="5"/>
      <c r="AH27" s="5"/>
      <c r="AI27" s="96"/>
      <c r="AJ27" s="96"/>
      <c r="AK27" s="104"/>
      <c r="AL27" s="107"/>
      <c r="AM27" s="96"/>
      <c r="AN27" s="96"/>
      <c r="AO27" s="5"/>
      <c r="AP27" s="5"/>
      <c r="AQ27" s="5"/>
      <c r="AR27" s="96"/>
      <c r="AS27" s="96"/>
      <c r="AT27" s="104"/>
      <c r="AU27" s="107"/>
      <c r="AV27" s="96"/>
      <c r="AW27" s="96"/>
      <c r="AX27" s="5"/>
      <c r="AY27" s="5"/>
      <c r="AZ27" s="5"/>
      <c r="BA27" s="96"/>
      <c r="BB27" s="96"/>
      <c r="BC27" s="97"/>
    </row>
    <row r="28" spans="2:55" ht="7" customHeight="1">
      <c r="B28" s="118"/>
      <c r="C28" s="98"/>
      <c r="D28" s="98"/>
      <c r="E28" s="5"/>
      <c r="F28" s="5"/>
      <c r="G28" s="5"/>
      <c r="H28" s="98"/>
      <c r="I28" s="98"/>
      <c r="J28" s="105"/>
      <c r="K28" s="108"/>
      <c r="L28" s="98"/>
      <c r="M28" s="98"/>
      <c r="N28" s="5"/>
      <c r="O28" s="5"/>
      <c r="P28" s="5"/>
      <c r="Q28" s="98"/>
      <c r="R28" s="98"/>
      <c r="S28" s="105"/>
      <c r="T28" s="108"/>
      <c r="U28" s="98"/>
      <c r="V28" s="98"/>
      <c r="W28" s="5"/>
      <c r="X28" s="5"/>
      <c r="Y28" s="5"/>
      <c r="Z28" s="98"/>
      <c r="AA28" s="98"/>
      <c r="AB28" s="105"/>
      <c r="AC28" s="108"/>
      <c r="AD28" s="98"/>
      <c r="AE28" s="98"/>
      <c r="AF28" s="5"/>
      <c r="AG28" s="5"/>
      <c r="AH28" s="5"/>
      <c r="AI28" s="98"/>
      <c r="AJ28" s="98"/>
      <c r="AK28" s="105"/>
      <c r="AL28" s="108"/>
      <c r="AM28" s="98"/>
      <c r="AN28" s="98"/>
      <c r="AO28" s="5"/>
      <c r="AP28" s="5"/>
      <c r="AQ28" s="5"/>
      <c r="AR28" s="98"/>
      <c r="AS28" s="98"/>
      <c r="AT28" s="105"/>
      <c r="AU28" s="108"/>
      <c r="AV28" s="98"/>
      <c r="AW28" s="98"/>
      <c r="AX28" s="5"/>
      <c r="AY28" s="5"/>
      <c r="AZ28" s="5"/>
      <c r="BA28" s="98"/>
      <c r="BB28" s="98"/>
      <c r="BC28" s="99"/>
    </row>
    <row r="29" spans="2:55" ht="7" customHeight="1">
      <c r="B29" s="116">
        <v>9</v>
      </c>
      <c r="C29" s="94"/>
      <c r="D29" s="94"/>
      <c r="E29" s="5"/>
      <c r="F29" s="5"/>
      <c r="G29" s="5"/>
      <c r="H29" s="94">
        <v>19</v>
      </c>
      <c r="I29" s="94"/>
      <c r="J29" s="103"/>
      <c r="K29" s="106">
        <v>29</v>
      </c>
      <c r="L29" s="94"/>
      <c r="M29" s="94"/>
      <c r="N29" s="5"/>
      <c r="O29" s="5"/>
      <c r="P29" s="5"/>
      <c r="Q29" s="94">
        <v>39</v>
      </c>
      <c r="R29" s="94"/>
      <c r="S29" s="103"/>
      <c r="T29" s="106">
        <v>49</v>
      </c>
      <c r="U29" s="94"/>
      <c r="V29" s="94"/>
      <c r="W29" s="5"/>
      <c r="X29" s="5"/>
      <c r="Y29" s="5"/>
      <c r="Z29" s="94">
        <v>59</v>
      </c>
      <c r="AA29" s="94"/>
      <c r="AB29" s="103"/>
      <c r="AC29" s="106">
        <v>69</v>
      </c>
      <c r="AD29" s="94"/>
      <c r="AE29" s="94"/>
      <c r="AF29" s="5"/>
      <c r="AG29" s="5"/>
      <c r="AH29" s="5"/>
      <c r="AI29" s="94">
        <v>79</v>
      </c>
      <c r="AJ29" s="94"/>
      <c r="AK29" s="103"/>
      <c r="AL29" s="106">
        <v>89</v>
      </c>
      <c r="AM29" s="94"/>
      <c r="AN29" s="94"/>
      <c r="AO29" s="5"/>
      <c r="AP29" s="5"/>
      <c r="AQ29" s="5"/>
      <c r="AR29" s="93">
        <v>99</v>
      </c>
      <c r="AS29" s="94"/>
      <c r="AT29" s="103"/>
      <c r="AU29" s="106">
        <v>109</v>
      </c>
      <c r="AV29" s="94"/>
      <c r="AW29" s="94"/>
      <c r="AX29" s="5"/>
      <c r="AY29" s="5"/>
      <c r="AZ29" s="5"/>
      <c r="BA29" s="94">
        <v>119</v>
      </c>
      <c r="BB29" s="94"/>
      <c r="BC29" s="95"/>
    </row>
    <row r="30" spans="2:55" ht="7" customHeight="1">
      <c r="B30" s="117"/>
      <c r="C30" s="96"/>
      <c r="D30" s="96"/>
      <c r="E30" s="5"/>
      <c r="F30" s="5"/>
      <c r="G30" s="5"/>
      <c r="H30" s="96"/>
      <c r="I30" s="96"/>
      <c r="J30" s="104"/>
      <c r="K30" s="107"/>
      <c r="L30" s="96"/>
      <c r="M30" s="96"/>
      <c r="N30" s="5"/>
      <c r="O30" s="5"/>
      <c r="P30" s="5"/>
      <c r="Q30" s="96"/>
      <c r="R30" s="96"/>
      <c r="S30" s="104"/>
      <c r="T30" s="107"/>
      <c r="U30" s="96"/>
      <c r="V30" s="96"/>
      <c r="W30" s="5"/>
      <c r="X30" s="5"/>
      <c r="Y30" s="5"/>
      <c r="Z30" s="96"/>
      <c r="AA30" s="96"/>
      <c r="AB30" s="104"/>
      <c r="AC30" s="107"/>
      <c r="AD30" s="96"/>
      <c r="AE30" s="96"/>
      <c r="AF30" s="5"/>
      <c r="AG30" s="5"/>
      <c r="AH30" s="5"/>
      <c r="AI30" s="96"/>
      <c r="AJ30" s="96"/>
      <c r="AK30" s="104"/>
      <c r="AL30" s="107"/>
      <c r="AM30" s="96"/>
      <c r="AN30" s="96"/>
      <c r="AO30" s="5"/>
      <c r="AP30" s="5"/>
      <c r="AQ30" s="5"/>
      <c r="AR30" s="96"/>
      <c r="AS30" s="96"/>
      <c r="AT30" s="104"/>
      <c r="AU30" s="107"/>
      <c r="AV30" s="96"/>
      <c r="AW30" s="96"/>
      <c r="AX30" s="5"/>
      <c r="AY30" s="5"/>
      <c r="AZ30" s="5"/>
      <c r="BA30" s="96"/>
      <c r="BB30" s="96"/>
      <c r="BC30" s="97"/>
    </row>
    <row r="31" spans="2:55" ht="7" customHeight="1">
      <c r="B31" s="118"/>
      <c r="C31" s="98"/>
      <c r="D31" s="98"/>
      <c r="E31" s="5"/>
      <c r="F31" s="5"/>
      <c r="G31" s="5"/>
      <c r="H31" s="98"/>
      <c r="I31" s="98"/>
      <c r="J31" s="105"/>
      <c r="K31" s="108"/>
      <c r="L31" s="98"/>
      <c r="M31" s="98"/>
      <c r="N31" s="5"/>
      <c r="O31" s="5"/>
      <c r="P31" s="5"/>
      <c r="Q31" s="98"/>
      <c r="R31" s="98"/>
      <c r="S31" s="105"/>
      <c r="T31" s="108"/>
      <c r="U31" s="98"/>
      <c r="V31" s="98"/>
      <c r="W31" s="5"/>
      <c r="X31" s="5"/>
      <c r="Y31" s="5"/>
      <c r="Z31" s="98"/>
      <c r="AA31" s="98"/>
      <c r="AB31" s="105"/>
      <c r="AC31" s="108"/>
      <c r="AD31" s="98"/>
      <c r="AE31" s="98"/>
      <c r="AF31" s="5"/>
      <c r="AG31" s="5"/>
      <c r="AH31" s="5"/>
      <c r="AI31" s="98"/>
      <c r="AJ31" s="98"/>
      <c r="AK31" s="105"/>
      <c r="AL31" s="108"/>
      <c r="AM31" s="98"/>
      <c r="AN31" s="98"/>
      <c r="AO31" s="5"/>
      <c r="AP31" s="5"/>
      <c r="AQ31" s="5"/>
      <c r="AR31" s="98"/>
      <c r="AS31" s="98"/>
      <c r="AT31" s="105"/>
      <c r="AU31" s="108"/>
      <c r="AV31" s="98"/>
      <c r="AW31" s="98"/>
      <c r="AX31" s="5"/>
      <c r="AY31" s="5"/>
      <c r="AZ31" s="5"/>
      <c r="BA31" s="98"/>
      <c r="BB31" s="98"/>
      <c r="BC31" s="99"/>
    </row>
    <row r="32" spans="2:55" ht="7" customHeight="1">
      <c r="B32" s="116">
        <v>10</v>
      </c>
      <c r="C32" s="94"/>
      <c r="D32" s="94"/>
      <c r="E32" s="5"/>
      <c r="F32" s="5"/>
      <c r="G32" s="5"/>
      <c r="H32" s="94">
        <v>20</v>
      </c>
      <c r="I32" s="94"/>
      <c r="J32" s="103"/>
      <c r="K32" s="106">
        <v>30</v>
      </c>
      <c r="L32" s="94"/>
      <c r="M32" s="94"/>
      <c r="N32" s="5"/>
      <c r="O32" s="5"/>
      <c r="P32" s="5"/>
      <c r="Q32" s="100">
        <v>40</v>
      </c>
      <c r="R32" s="94"/>
      <c r="S32" s="103"/>
      <c r="T32" s="106">
        <v>50</v>
      </c>
      <c r="U32" s="94"/>
      <c r="V32" s="94"/>
      <c r="W32" s="5"/>
      <c r="X32" s="5"/>
      <c r="Y32" s="5"/>
      <c r="Z32" s="94">
        <v>60</v>
      </c>
      <c r="AA32" s="94"/>
      <c r="AB32" s="103"/>
      <c r="AC32" s="106">
        <v>70</v>
      </c>
      <c r="AD32" s="94"/>
      <c r="AE32" s="94"/>
      <c r="AF32" s="5"/>
      <c r="AG32" s="5"/>
      <c r="AH32" s="5"/>
      <c r="AI32" s="93">
        <v>80</v>
      </c>
      <c r="AJ32" s="94"/>
      <c r="AK32" s="103"/>
      <c r="AL32" s="106">
        <v>90</v>
      </c>
      <c r="AM32" s="94"/>
      <c r="AN32" s="94"/>
      <c r="AO32" s="5"/>
      <c r="AP32" s="5"/>
      <c r="AQ32" s="5"/>
      <c r="AR32" s="94">
        <v>100</v>
      </c>
      <c r="AS32" s="94"/>
      <c r="AT32" s="103"/>
      <c r="AU32" s="106">
        <v>110</v>
      </c>
      <c r="AV32" s="94"/>
      <c r="AW32" s="94"/>
      <c r="AX32" s="5"/>
      <c r="AY32" s="5"/>
      <c r="AZ32" s="5"/>
      <c r="BA32" s="100">
        <v>120</v>
      </c>
      <c r="BB32" s="94"/>
      <c r="BC32" s="95"/>
    </row>
    <row r="33" spans="2:55" ht="7" customHeight="1">
      <c r="B33" s="117"/>
      <c r="C33" s="96"/>
      <c r="D33" s="96"/>
      <c r="E33" s="5"/>
      <c r="F33" s="5"/>
      <c r="G33" s="5"/>
      <c r="H33" s="96"/>
      <c r="I33" s="96"/>
      <c r="J33" s="104"/>
      <c r="K33" s="107"/>
      <c r="L33" s="96"/>
      <c r="M33" s="96"/>
      <c r="N33" s="5"/>
      <c r="O33" s="5"/>
      <c r="P33" s="5"/>
      <c r="Q33" s="96"/>
      <c r="R33" s="96"/>
      <c r="S33" s="104"/>
      <c r="T33" s="107"/>
      <c r="U33" s="96"/>
      <c r="V33" s="96"/>
      <c r="W33" s="5"/>
      <c r="X33" s="5"/>
      <c r="Y33" s="5"/>
      <c r="Z33" s="96"/>
      <c r="AA33" s="96"/>
      <c r="AB33" s="104"/>
      <c r="AC33" s="107"/>
      <c r="AD33" s="96"/>
      <c r="AE33" s="96"/>
      <c r="AF33" s="5"/>
      <c r="AG33" s="5"/>
      <c r="AH33" s="5"/>
      <c r="AI33" s="96"/>
      <c r="AJ33" s="96"/>
      <c r="AK33" s="104"/>
      <c r="AL33" s="107"/>
      <c r="AM33" s="96"/>
      <c r="AN33" s="96"/>
      <c r="AO33" s="5"/>
      <c r="AP33" s="5"/>
      <c r="AQ33" s="5"/>
      <c r="AR33" s="96"/>
      <c r="AS33" s="96"/>
      <c r="AT33" s="104"/>
      <c r="AU33" s="107"/>
      <c r="AV33" s="96"/>
      <c r="AW33" s="96"/>
      <c r="AX33" s="5"/>
      <c r="AY33" s="5"/>
      <c r="AZ33" s="5"/>
      <c r="BA33" s="96"/>
      <c r="BB33" s="96"/>
      <c r="BC33" s="97"/>
    </row>
    <row r="34" spans="2:55" ht="7" customHeight="1">
      <c r="B34" s="118"/>
      <c r="C34" s="98"/>
      <c r="D34" s="98"/>
      <c r="E34" s="5"/>
      <c r="F34" s="5"/>
      <c r="G34" s="5"/>
      <c r="H34" s="98"/>
      <c r="I34" s="98"/>
      <c r="J34" s="105"/>
      <c r="K34" s="108"/>
      <c r="L34" s="98"/>
      <c r="M34" s="98"/>
      <c r="N34" s="5"/>
      <c r="O34" s="5"/>
      <c r="P34" s="5"/>
      <c r="Q34" s="98"/>
      <c r="R34" s="98"/>
      <c r="S34" s="105"/>
      <c r="T34" s="108"/>
      <c r="U34" s="98"/>
      <c r="V34" s="98"/>
      <c r="W34" s="5"/>
      <c r="X34" s="5"/>
      <c r="Y34" s="5"/>
      <c r="Z34" s="98"/>
      <c r="AA34" s="98"/>
      <c r="AB34" s="105"/>
      <c r="AC34" s="108"/>
      <c r="AD34" s="98"/>
      <c r="AE34" s="98"/>
      <c r="AF34" s="5"/>
      <c r="AG34" s="5"/>
      <c r="AH34" s="5"/>
      <c r="AI34" s="98"/>
      <c r="AJ34" s="98"/>
      <c r="AK34" s="105"/>
      <c r="AL34" s="108"/>
      <c r="AM34" s="98"/>
      <c r="AN34" s="98"/>
      <c r="AO34" s="5"/>
      <c r="AP34" s="5"/>
      <c r="AQ34" s="5"/>
      <c r="AR34" s="98"/>
      <c r="AS34" s="98"/>
      <c r="AT34" s="105"/>
      <c r="AU34" s="108"/>
      <c r="AV34" s="98"/>
      <c r="AW34" s="98"/>
      <c r="AX34" s="5"/>
      <c r="AY34" s="5"/>
      <c r="AZ34" s="5"/>
      <c r="BA34" s="98"/>
      <c r="BB34" s="98"/>
      <c r="BC34" s="99"/>
    </row>
    <row r="35" spans="2:55" ht="7" customHeight="1"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12"/>
    </row>
    <row r="36" spans="2:55" ht="7" customHeight="1">
      <c r="B36" s="6"/>
      <c r="C36" s="5"/>
      <c r="D36" s="5"/>
      <c r="E36" s="90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12"/>
    </row>
    <row r="37" spans="2:55" ht="7" customHeight="1" thickBot="1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3"/>
    </row>
    <row r="39" spans="2:55" ht="20" customHeight="1">
      <c r="B39" s="115" t="s">
        <v>131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</row>
    <row r="41" spans="2:55" ht="14" customHeight="1">
      <c r="B41" s="113">
        <v>0.50219907407407405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</row>
    <row r="42" spans="2:55" ht="12" customHeight="1" thickBot="1">
      <c r="B42" s="114" t="s">
        <v>96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</row>
    <row r="43" spans="2:55" ht="12" customHeight="1" thickBot="1">
      <c r="B43" s="79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1"/>
    </row>
    <row r="46" spans="2:55" ht="12" customHeight="1" thickBot="1">
      <c r="B46" s="114" t="s">
        <v>95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</row>
    <row r="47" spans="2:55" ht="12" customHeight="1" thickBot="1">
      <c r="B47" s="79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1"/>
    </row>
  </sheetData>
  <mergeCells count="125">
    <mergeCell ref="Q32:S34"/>
    <mergeCell ref="T32:V34"/>
    <mergeCell ref="Q5:S7"/>
    <mergeCell ref="Q8:S10"/>
    <mergeCell ref="T5:V7"/>
    <mergeCell ref="T8:V10"/>
    <mergeCell ref="T11:V13"/>
    <mergeCell ref="Z11:AB13"/>
    <mergeCell ref="Q11:S13"/>
    <mergeCell ref="Q20:S22"/>
    <mergeCell ref="Z8:AB10"/>
    <mergeCell ref="Z14:AB16"/>
    <mergeCell ref="Z17:AB19"/>
    <mergeCell ref="Z20:AB22"/>
    <mergeCell ref="Q14:S16"/>
    <mergeCell ref="Q23:S25"/>
    <mergeCell ref="Q26:S28"/>
    <mergeCell ref="Q29:S31"/>
    <mergeCell ref="T23:V25"/>
    <mergeCell ref="T26:V28"/>
    <mergeCell ref="Z23:AB25"/>
    <mergeCell ref="Z26:AB28"/>
    <mergeCell ref="Q17:S19"/>
    <mergeCell ref="T20:V22"/>
    <mergeCell ref="B5:D7"/>
    <mergeCell ref="B8:D10"/>
    <mergeCell ref="H5:J7"/>
    <mergeCell ref="H8:J10"/>
    <mergeCell ref="K5:M7"/>
    <mergeCell ref="K8:M10"/>
    <mergeCell ref="B17:D19"/>
    <mergeCell ref="K17:M19"/>
    <mergeCell ref="B14:D16"/>
    <mergeCell ref="H11:J13"/>
    <mergeCell ref="K11:M13"/>
    <mergeCell ref="B11:D13"/>
    <mergeCell ref="H17:J19"/>
    <mergeCell ref="K14:M16"/>
    <mergeCell ref="H14:J16"/>
    <mergeCell ref="B41:L41"/>
    <mergeCell ref="B39:BC39"/>
    <mergeCell ref="B46:BC46"/>
    <mergeCell ref="B42:BC42"/>
    <mergeCell ref="K32:M34"/>
    <mergeCell ref="H20:J22"/>
    <mergeCell ref="H23:J25"/>
    <mergeCell ref="B23:D25"/>
    <mergeCell ref="B26:D28"/>
    <mergeCell ref="B29:D31"/>
    <mergeCell ref="B32:D34"/>
    <mergeCell ref="B20:D22"/>
    <mergeCell ref="H26:J28"/>
    <mergeCell ref="H29:J31"/>
    <mergeCell ref="H32:J34"/>
    <mergeCell ref="K20:M22"/>
    <mergeCell ref="K23:M25"/>
    <mergeCell ref="K26:M28"/>
    <mergeCell ref="K29:M31"/>
    <mergeCell ref="AU32:AW34"/>
    <mergeCell ref="AR29:AT31"/>
    <mergeCell ref="AR32:AT34"/>
    <mergeCell ref="BA20:BC22"/>
    <mergeCell ref="BA23:BC25"/>
    <mergeCell ref="AL32:AN34"/>
    <mergeCell ref="AC5:AE7"/>
    <mergeCell ref="AC8:AE10"/>
    <mergeCell ref="AC11:AE13"/>
    <mergeCell ref="AC14:AE16"/>
    <mergeCell ref="AC17:AE19"/>
    <mergeCell ref="T14:V16"/>
    <mergeCell ref="Z5:AB7"/>
    <mergeCell ref="Z32:AB34"/>
    <mergeCell ref="T17:V19"/>
    <mergeCell ref="T29:V31"/>
    <mergeCell ref="Z29:AB31"/>
    <mergeCell ref="AC20:AE22"/>
    <mergeCell ref="AC23:AE25"/>
    <mergeCell ref="AC26:AE28"/>
    <mergeCell ref="AC29:AE31"/>
    <mergeCell ref="AC32:AE34"/>
    <mergeCell ref="AI20:AK22"/>
    <mergeCell ref="AI23:AK25"/>
    <mergeCell ref="AI26:AK28"/>
    <mergeCell ref="AI29:AK31"/>
    <mergeCell ref="AI32:AK34"/>
    <mergeCell ref="AL8:AN10"/>
    <mergeCell ref="AL11:AN13"/>
    <mergeCell ref="AU20:AW22"/>
    <mergeCell ref="AU23:AW25"/>
    <mergeCell ref="AU26:AW28"/>
    <mergeCell ref="AU29:AW31"/>
    <mergeCell ref="AR5:AT7"/>
    <mergeCell ref="AR8:AT10"/>
    <mergeCell ref="AR11:AT13"/>
    <mergeCell ref="AR14:AT16"/>
    <mergeCell ref="AR17:AT19"/>
    <mergeCell ref="AR20:AT22"/>
    <mergeCell ref="AR23:AT25"/>
    <mergeCell ref="AR26:AT28"/>
    <mergeCell ref="AL14:AN16"/>
    <mergeCell ref="AL17:AN19"/>
    <mergeCell ref="BA26:BC28"/>
    <mergeCell ref="BA29:BC31"/>
    <mergeCell ref="BA32:BC34"/>
    <mergeCell ref="A9:A12"/>
    <mergeCell ref="AI5:AK7"/>
    <mergeCell ref="AI8:AK10"/>
    <mergeCell ref="AI11:AK13"/>
    <mergeCell ref="AI14:AK16"/>
    <mergeCell ref="AI17:AK19"/>
    <mergeCell ref="BA5:BC7"/>
    <mergeCell ref="BA8:BC10"/>
    <mergeCell ref="BA11:BC13"/>
    <mergeCell ref="BA14:BC16"/>
    <mergeCell ref="BA17:BC19"/>
    <mergeCell ref="AU5:AW7"/>
    <mergeCell ref="AU8:AW10"/>
    <mergeCell ref="AU11:AW13"/>
    <mergeCell ref="AU14:AW16"/>
    <mergeCell ref="AU17:AW19"/>
    <mergeCell ref="AL20:AN22"/>
    <mergeCell ref="AL23:AN25"/>
    <mergeCell ref="AL26:AN28"/>
    <mergeCell ref="AL29:AN31"/>
    <mergeCell ref="AL5:AN7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>
                <anchor moveWithCells="1">
                  <from>
                    <xdr:col>0</xdr:col>
                    <xdr:colOff>114300</xdr:colOff>
                    <xdr:row>3</xdr:row>
                    <xdr:rowOff>76200</xdr:rowOff>
                  </from>
                  <to>
                    <xdr:col>0</xdr:col>
                    <xdr:colOff>1130300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AD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3"/>
  <cols>
    <col min="1" max="1" width="15.6640625" style="55" customWidth="1"/>
    <col min="2" max="2" width="8" style="54" customWidth="1"/>
    <col min="3" max="3" width="15.6640625" style="54" customWidth="1"/>
    <col min="4" max="6" width="15.6640625" style="53" customWidth="1"/>
    <col min="7" max="16" width="15.6640625" style="54" customWidth="1"/>
    <col min="17" max="17" width="15.6640625" style="52" customWidth="1"/>
    <col min="18" max="27" width="15.6640625" style="54" customWidth="1"/>
  </cols>
  <sheetData>
    <row r="1" spans="1:30" s="3" customFormat="1" ht="114" customHeight="1" thickBot="1">
      <c r="A1" s="59" t="s">
        <v>78</v>
      </c>
      <c r="B1" s="58" t="s">
        <v>77</v>
      </c>
      <c r="C1" s="58" t="s">
        <v>97</v>
      </c>
      <c r="D1" s="57" t="s">
        <v>93</v>
      </c>
      <c r="E1" s="57" t="s">
        <v>94</v>
      </c>
      <c r="F1" s="57" t="s">
        <v>75</v>
      </c>
      <c r="G1" s="56" t="s">
        <v>83</v>
      </c>
      <c r="H1" s="56" t="s">
        <v>84</v>
      </c>
      <c r="I1" s="56" t="s">
        <v>85</v>
      </c>
      <c r="J1" s="58" t="s">
        <v>130</v>
      </c>
      <c r="K1" s="58" t="s">
        <v>86</v>
      </c>
      <c r="L1" s="58" t="s">
        <v>87</v>
      </c>
      <c r="M1" s="57" t="s">
        <v>92</v>
      </c>
      <c r="N1" s="58" t="s">
        <v>88</v>
      </c>
      <c r="O1" s="58" t="s">
        <v>89</v>
      </c>
      <c r="P1" s="58" t="s">
        <v>90</v>
      </c>
      <c r="Q1" s="58" t="s">
        <v>91</v>
      </c>
      <c r="R1" s="58" t="s">
        <v>98</v>
      </c>
      <c r="S1" s="58" t="s">
        <v>99</v>
      </c>
      <c r="T1" s="58" t="s">
        <v>100</v>
      </c>
      <c r="U1" s="58" t="s">
        <v>101</v>
      </c>
      <c r="V1" s="58" t="s">
        <v>102</v>
      </c>
      <c r="W1" s="58" t="s">
        <v>103</v>
      </c>
      <c r="X1" s="58" t="s">
        <v>104</v>
      </c>
      <c r="Y1" s="58" t="s">
        <v>105</v>
      </c>
      <c r="Z1" s="58" t="s">
        <v>106</v>
      </c>
      <c r="AA1" s="58" t="s">
        <v>107</v>
      </c>
      <c r="AB1"/>
      <c r="AC1"/>
      <c r="AD1"/>
    </row>
    <row r="2" spans="1:30" ht="14" thickTop="1">
      <c r="A2" s="63"/>
      <c r="B2" s="62"/>
      <c r="C2" s="62"/>
      <c r="D2" s="61"/>
      <c r="E2" s="61"/>
      <c r="F2" s="61"/>
      <c r="G2" s="62"/>
      <c r="H2" s="62"/>
      <c r="I2" s="62"/>
      <c r="J2" s="62"/>
      <c r="K2" s="62"/>
      <c r="L2" s="62"/>
      <c r="M2" s="62"/>
      <c r="N2" s="62"/>
      <c r="O2" s="62"/>
      <c r="P2" s="62"/>
      <c r="Q2" s="60"/>
      <c r="R2" s="62"/>
      <c r="S2" s="62"/>
      <c r="T2" s="62"/>
      <c r="U2" s="62"/>
      <c r="V2" s="62"/>
      <c r="W2" s="62"/>
      <c r="X2" s="62"/>
      <c r="Y2" s="62"/>
      <c r="Z2" s="62"/>
      <c r="AA2" s="76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AL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/>
  <cols>
    <col min="1" max="1" width="15.6640625" style="64" customWidth="1"/>
    <col min="2" max="2" width="15.6640625" style="65" customWidth="1"/>
    <col min="3" max="3" width="7.83203125" style="65" customWidth="1"/>
    <col min="4" max="6" width="15.6640625" style="66" customWidth="1"/>
    <col min="7" max="7" width="15.6640625" style="67" customWidth="1"/>
    <col min="8" max="12" width="15.6640625" style="65" customWidth="1"/>
    <col min="13" max="18" width="15.6640625" style="68" customWidth="1"/>
    <col min="19" max="38" width="7.6640625" style="68" customWidth="1"/>
    <col min="39" max="41" width="9.1640625" style="70"/>
    <col min="42" max="42" width="9.33203125" style="70" bestFit="1" customWidth="1"/>
    <col min="43" max="43" width="7.83203125" style="70" customWidth="1"/>
    <col min="44" max="16384" width="9.1640625" style="70"/>
  </cols>
  <sheetData>
    <row r="1" spans="1:38" s="69" customFormat="1" ht="119.25" customHeight="1" thickBot="1">
      <c r="A1" s="71" t="s">
        <v>78</v>
      </c>
      <c r="B1" s="72" t="s">
        <v>79</v>
      </c>
      <c r="C1" s="72" t="s">
        <v>77</v>
      </c>
      <c r="D1" s="73" t="s">
        <v>80</v>
      </c>
      <c r="E1" s="73" t="s">
        <v>81</v>
      </c>
      <c r="F1" s="73" t="s">
        <v>82</v>
      </c>
      <c r="G1" s="74" t="s">
        <v>75</v>
      </c>
      <c r="H1" s="72" t="s">
        <v>83</v>
      </c>
      <c r="I1" s="72" t="s">
        <v>84</v>
      </c>
      <c r="J1" s="72" t="s">
        <v>85</v>
      </c>
      <c r="K1" s="77" t="s">
        <v>130</v>
      </c>
      <c r="L1" s="75" t="s">
        <v>86</v>
      </c>
      <c r="M1" s="75" t="s">
        <v>87</v>
      </c>
      <c r="N1" s="74" t="s">
        <v>92</v>
      </c>
      <c r="O1" s="75" t="s">
        <v>88</v>
      </c>
      <c r="P1" s="75" t="s">
        <v>89</v>
      </c>
      <c r="Q1" s="75" t="s">
        <v>90</v>
      </c>
      <c r="R1" s="75" t="s">
        <v>91</v>
      </c>
      <c r="S1" s="121" t="s">
        <v>76</v>
      </c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</row>
    <row r="2" spans="1:38" ht="14" thickTop="1">
      <c r="A2" s="83"/>
      <c r="B2" s="84"/>
      <c r="C2" s="84"/>
      <c r="D2" s="85"/>
      <c r="E2" s="85"/>
      <c r="F2" s="85"/>
      <c r="G2" s="86"/>
      <c r="H2" s="84"/>
      <c r="I2" s="84"/>
      <c r="J2" s="84"/>
      <c r="K2" s="84"/>
      <c r="L2" s="84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7"/>
    </row>
  </sheetData>
  <mergeCells count="1">
    <mergeCell ref="S1:AL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8"/>
  <dimension ref="A1:AR34"/>
  <sheetViews>
    <sheetView workbookViewId="0"/>
  </sheetViews>
  <sheetFormatPr baseColWidth="10" defaultColWidth="0" defaultRowHeight="13"/>
  <cols>
    <col min="1" max="40" width="5.6640625" customWidth="1"/>
    <col min="41" max="16384" width="9.1640625" style="2" hidden="1"/>
  </cols>
  <sheetData>
    <row r="1" spans="1:30">
      <c r="A1">
        <v>1</v>
      </c>
      <c r="B1">
        <v>1</v>
      </c>
      <c r="C1" s="2">
        <v>2</v>
      </c>
      <c r="D1">
        <v>1</v>
      </c>
      <c r="E1" s="2">
        <v>3</v>
      </c>
      <c r="F1">
        <v>1</v>
      </c>
      <c r="G1" s="2">
        <v>5</v>
      </c>
      <c r="H1">
        <v>1</v>
      </c>
      <c r="I1" s="2">
        <v>6</v>
      </c>
      <c r="J1">
        <v>1</v>
      </c>
      <c r="K1" s="2">
        <v>7</v>
      </c>
      <c r="L1">
        <v>1</v>
      </c>
      <c r="M1" s="2">
        <v>12</v>
      </c>
      <c r="N1">
        <v>1</v>
      </c>
      <c r="O1" s="2">
        <v>15</v>
      </c>
      <c r="P1">
        <v>1</v>
      </c>
      <c r="Q1" s="2">
        <v>16</v>
      </c>
      <c r="R1">
        <v>1</v>
      </c>
      <c r="S1" s="2">
        <v>17</v>
      </c>
      <c r="T1">
        <v>1</v>
      </c>
      <c r="U1" s="2">
        <v>20</v>
      </c>
      <c r="V1">
        <v>1</v>
      </c>
      <c r="W1" s="2">
        <v>21</v>
      </c>
      <c r="X1">
        <v>1</v>
      </c>
      <c r="Y1" s="2">
        <v>22</v>
      </c>
      <c r="Z1">
        <v>1</v>
      </c>
      <c r="AA1" s="2">
        <v>24</v>
      </c>
      <c r="AB1">
        <v>1</v>
      </c>
      <c r="AC1" s="2">
        <v>50</v>
      </c>
      <c r="AD1">
        <v>1</v>
      </c>
    </row>
    <row r="2" spans="1:30">
      <c r="A2" s="2">
        <v>4</v>
      </c>
      <c r="B2">
        <v>1</v>
      </c>
      <c r="C2" s="2">
        <v>8</v>
      </c>
      <c r="D2">
        <v>1</v>
      </c>
      <c r="E2" s="2">
        <v>15</v>
      </c>
      <c r="F2">
        <v>1</v>
      </c>
      <c r="G2" s="2">
        <v>22</v>
      </c>
      <c r="H2">
        <v>1</v>
      </c>
      <c r="I2" s="2">
        <v>25</v>
      </c>
      <c r="J2">
        <v>1</v>
      </c>
      <c r="K2" s="2">
        <v>40</v>
      </c>
      <c r="L2">
        <v>1</v>
      </c>
      <c r="M2" s="2">
        <v>49</v>
      </c>
      <c r="N2">
        <v>1</v>
      </c>
      <c r="O2" s="2">
        <v>48</v>
      </c>
      <c r="P2">
        <v>1</v>
      </c>
      <c r="Q2" s="2">
        <v>30</v>
      </c>
      <c r="R2">
        <v>1</v>
      </c>
      <c r="S2" s="2">
        <v>31</v>
      </c>
      <c r="T2">
        <v>1</v>
      </c>
      <c r="U2" s="2">
        <v>32</v>
      </c>
      <c r="V2">
        <v>1</v>
      </c>
      <c r="W2" s="2">
        <v>33</v>
      </c>
      <c r="X2">
        <v>1</v>
      </c>
      <c r="Y2" s="2">
        <v>34</v>
      </c>
      <c r="Z2">
        <v>1</v>
      </c>
      <c r="AA2" s="2">
        <v>35</v>
      </c>
      <c r="AB2">
        <v>1</v>
      </c>
      <c r="AC2" s="2"/>
    </row>
    <row r="3" spans="1:30">
      <c r="A3" s="2">
        <v>3</v>
      </c>
      <c r="B3">
        <v>1</v>
      </c>
      <c r="C3" s="2">
        <v>5</v>
      </c>
      <c r="D3">
        <v>1</v>
      </c>
      <c r="E3" s="2">
        <v>7</v>
      </c>
      <c r="F3">
        <v>1</v>
      </c>
      <c r="G3" s="2">
        <v>12</v>
      </c>
      <c r="H3">
        <v>1</v>
      </c>
      <c r="I3" s="2">
        <v>16</v>
      </c>
      <c r="J3">
        <v>1</v>
      </c>
      <c r="K3" s="2"/>
      <c r="M3" s="2"/>
      <c r="O3" s="2"/>
      <c r="Q3" s="2"/>
      <c r="S3" s="2"/>
      <c r="U3" s="2"/>
      <c r="W3" s="2"/>
      <c r="Y3" s="2"/>
      <c r="AA3" s="2"/>
      <c r="AC3" s="2"/>
    </row>
    <row r="4" spans="1:30">
      <c r="A4" s="2">
        <v>12</v>
      </c>
      <c r="B4">
        <v>1</v>
      </c>
      <c r="C4" s="2">
        <v>15</v>
      </c>
      <c r="D4">
        <v>1</v>
      </c>
      <c r="E4" s="2">
        <v>44</v>
      </c>
      <c r="F4">
        <v>1</v>
      </c>
      <c r="G4" s="2">
        <v>46</v>
      </c>
      <c r="H4">
        <v>1</v>
      </c>
      <c r="I4" s="2"/>
      <c r="K4" s="2"/>
      <c r="M4" s="2"/>
      <c r="O4" s="2"/>
      <c r="Q4" s="2"/>
      <c r="S4" s="2"/>
      <c r="U4" s="2"/>
      <c r="W4" s="2"/>
      <c r="Y4" s="2"/>
      <c r="AA4" s="2"/>
      <c r="AC4" s="2"/>
    </row>
    <row r="5" spans="1:30">
      <c r="A5" s="2">
        <v>22</v>
      </c>
      <c r="B5">
        <v>1</v>
      </c>
      <c r="C5" s="2">
        <v>24</v>
      </c>
      <c r="D5">
        <v>1</v>
      </c>
      <c r="E5" s="2">
        <v>26</v>
      </c>
      <c r="F5">
        <v>1</v>
      </c>
      <c r="G5" s="2"/>
      <c r="I5" s="2"/>
      <c r="K5" s="2"/>
      <c r="M5" s="2"/>
      <c r="O5" s="2"/>
      <c r="Q5" s="2"/>
      <c r="S5" s="2"/>
      <c r="U5" s="2"/>
      <c r="W5" s="2"/>
    </row>
    <row r="6" spans="1:30">
      <c r="A6" s="2"/>
      <c r="C6" s="2"/>
      <c r="E6" s="2"/>
      <c r="G6" s="2"/>
      <c r="I6" s="2"/>
      <c r="K6" s="2"/>
      <c r="M6" s="2"/>
      <c r="O6" s="2"/>
      <c r="Q6" s="2"/>
      <c r="S6" s="2"/>
      <c r="U6" s="2"/>
      <c r="W6" s="2"/>
    </row>
    <row r="7" spans="1:30">
      <c r="A7" s="2"/>
      <c r="C7" s="2"/>
      <c r="E7" s="2"/>
      <c r="G7" s="2"/>
      <c r="I7" s="2"/>
      <c r="K7" s="2"/>
      <c r="M7" s="2"/>
      <c r="O7" s="2"/>
      <c r="Q7" s="2"/>
      <c r="S7" s="2"/>
      <c r="U7" s="2"/>
      <c r="W7" s="2"/>
    </row>
    <row r="8" spans="1:30">
      <c r="A8" s="2"/>
      <c r="C8" s="2"/>
      <c r="E8" s="2"/>
      <c r="G8" s="2"/>
      <c r="I8" s="2"/>
      <c r="K8" s="2"/>
      <c r="M8" s="2"/>
      <c r="O8" s="2"/>
      <c r="Q8" s="2"/>
      <c r="S8" s="2"/>
      <c r="U8" s="2"/>
      <c r="W8" s="2"/>
    </row>
    <row r="9" spans="1:30">
      <c r="A9" s="2"/>
      <c r="C9" s="2"/>
      <c r="E9" s="2"/>
      <c r="G9" s="2"/>
      <c r="I9" s="2"/>
      <c r="K9" s="2"/>
      <c r="M9" s="2"/>
      <c r="O9" s="2"/>
      <c r="Q9" s="2"/>
      <c r="S9" s="2"/>
      <c r="U9" s="2"/>
      <c r="W9" s="2"/>
    </row>
    <row r="10" spans="1:30">
      <c r="A10" s="2"/>
      <c r="C10" s="2"/>
      <c r="E10" s="2"/>
      <c r="G10" s="2"/>
      <c r="I10" s="2"/>
      <c r="K10" s="2"/>
      <c r="M10" s="2"/>
      <c r="O10" s="2"/>
      <c r="Q10" s="2"/>
      <c r="S10" s="2"/>
      <c r="U10" s="2"/>
      <c r="W10" s="2"/>
    </row>
    <row r="11" spans="1:30">
      <c r="A11" s="2"/>
      <c r="C11" s="2"/>
      <c r="E11" s="2"/>
      <c r="G11" s="2"/>
      <c r="I11" s="2"/>
      <c r="K11" s="2"/>
      <c r="M11" s="2"/>
      <c r="O11" s="2"/>
      <c r="Q11" s="2"/>
      <c r="S11" s="2"/>
      <c r="U11" s="2"/>
      <c r="W11" s="2"/>
    </row>
    <row r="12" spans="1:30">
      <c r="A12" s="2"/>
      <c r="C12" s="2"/>
      <c r="E12" s="2"/>
      <c r="G12" s="2"/>
      <c r="I12" s="2"/>
      <c r="K12" s="2"/>
      <c r="M12" s="2"/>
      <c r="O12" s="2"/>
      <c r="Q12" s="2"/>
      <c r="S12" s="2"/>
      <c r="U12" s="2"/>
      <c r="W12" s="2"/>
    </row>
    <row r="13" spans="1:30">
      <c r="A13" s="2"/>
      <c r="C13" s="2"/>
      <c r="E13" s="2"/>
      <c r="G13" s="2"/>
      <c r="I13" s="2"/>
      <c r="K13" s="2"/>
      <c r="M13" s="2"/>
      <c r="O13" s="2"/>
      <c r="Q13" s="2"/>
      <c r="S13" s="2"/>
      <c r="U13" s="2"/>
      <c r="W13" s="2"/>
    </row>
    <row r="14" spans="1:30">
      <c r="A14" s="2"/>
      <c r="C14" s="2"/>
      <c r="E14" s="2"/>
      <c r="G14" s="2"/>
      <c r="I14" s="2"/>
      <c r="K14" s="2"/>
      <c r="M14" s="2"/>
      <c r="O14" s="2"/>
      <c r="Q14" s="2"/>
      <c r="S14" s="2"/>
      <c r="U14" s="2"/>
      <c r="W14" s="2"/>
    </row>
    <row r="15" spans="1:30">
      <c r="A15" s="2"/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</row>
    <row r="16" spans="1:30">
      <c r="A16" s="2"/>
      <c r="C16" s="2"/>
      <c r="E16" s="2"/>
      <c r="G16" s="2"/>
      <c r="I16" s="2"/>
      <c r="K16" s="2"/>
      <c r="M16" s="2"/>
      <c r="O16" s="2"/>
      <c r="Q16" s="2"/>
      <c r="S16" s="2"/>
      <c r="U16" s="2"/>
      <c r="W16" s="2"/>
    </row>
    <row r="17" spans="1:44">
      <c r="A17" s="2"/>
      <c r="C17" s="2"/>
      <c r="E17" s="2"/>
      <c r="G17" s="2"/>
      <c r="I17" s="2"/>
      <c r="K17" s="2"/>
      <c r="M17" s="2"/>
      <c r="O17" s="2"/>
      <c r="Q17" s="2"/>
      <c r="S17" s="2"/>
      <c r="U17" s="2"/>
      <c r="W17" s="2"/>
      <c r="AO17" s="2">
        <v>96</v>
      </c>
      <c r="AP17" s="2">
        <v>3</v>
      </c>
      <c r="AQ17" s="2">
        <v>13</v>
      </c>
      <c r="AR17" s="2">
        <v>5</v>
      </c>
    </row>
    <row r="18" spans="1:44">
      <c r="A18" s="2"/>
      <c r="C18" s="2"/>
      <c r="E18" s="2"/>
      <c r="G18" s="2"/>
      <c r="I18" s="2"/>
      <c r="K18" s="2"/>
      <c r="M18" s="2"/>
      <c r="O18" s="2"/>
      <c r="Q18" s="2"/>
      <c r="S18" s="2"/>
      <c r="U18" s="2"/>
      <c r="W18" s="2"/>
    </row>
    <row r="19" spans="1:44">
      <c r="A19" s="2"/>
      <c r="C19" s="2"/>
      <c r="E19" s="2"/>
      <c r="G19" s="2"/>
      <c r="I19" s="2"/>
      <c r="K19" s="2"/>
      <c r="M19" s="2"/>
      <c r="O19" s="2"/>
      <c r="Q19" s="2"/>
      <c r="S19" s="2"/>
      <c r="U19" s="2"/>
      <c r="W19" s="2"/>
    </row>
    <row r="20" spans="1:44">
      <c r="A20" s="2"/>
      <c r="C20" s="2"/>
      <c r="E20" s="2"/>
      <c r="G20" s="2"/>
      <c r="I20" s="2"/>
      <c r="K20" s="2"/>
      <c r="M20" s="2"/>
      <c r="O20" s="2"/>
      <c r="Q20" s="2"/>
      <c r="S20" s="2"/>
      <c r="U20" s="2"/>
      <c r="W20" s="2"/>
    </row>
    <row r="21" spans="1:44">
      <c r="A21" s="2"/>
      <c r="C21" s="2"/>
      <c r="E21" s="2"/>
      <c r="G21" s="2"/>
      <c r="I21" s="2"/>
      <c r="K21" s="2"/>
      <c r="M21" s="2"/>
      <c r="O21" s="2"/>
      <c r="Q21" s="2"/>
      <c r="S21" s="2"/>
      <c r="U21" s="2"/>
      <c r="W21" s="2"/>
    </row>
    <row r="22" spans="1:44">
      <c r="A22" s="2"/>
      <c r="C22" s="2"/>
      <c r="E22" s="2"/>
      <c r="G22" s="2"/>
      <c r="I22" s="2"/>
      <c r="K22" s="2"/>
      <c r="M22" s="2"/>
      <c r="O22" s="2"/>
      <c r="Q22" s="2"/>
      <c r="S22" s="2"/>
      <c r="U22" s="2"/>
      <c r="W22" s="2"/>
    </row>
    <row r="23" spans="1:44">
      <c r="A23" s="2"/>
      <c r="C23" s="2"/>
      <c r="E23" s="2"/>
      <c r="G23" s="2"/>
      <c r="I23" s="2"/>
      <c r="K23" s="2"/>
      <c r="M23" s="2"/>
      <c r="O23" s="2"/>
      <c r="Q23" s="2"/>
      <c r="S23" s="2"/>
      <c r="U23" s="2"/>
      <c r="W23" s="2"/>
    </row>
    <row r="24" spans="1:44">
      <c r="A24" s="2"/>
      <c r="C24" s="2"/>
      <c r="E24" s="2"/>
      <c r="G24" s="2"/>
      <c r="I24" s="2"/>
      <c r="K24" s="2"/>
      <c r="M24" s="2"/>
      <c r="O24" s="2"/>
      <c r="Q24" s="2"/>
      <c r="S24" s="2"/>
      <c r="U24" s="2"/>
      <c r="W24" s="2"/>
    </row>
    <row r="25" spans="1:44">
      <c r="A25" s="2"/>
      <c r="C25" s="2"/>
      <c r="E25" s="2"/>
      <c r="G25" s="2"/>
      <c r="I25" s="2"/>
      <c r="K25" s="2"/>
      <c r="M25" s="2"/>
      <c r="O25" s="2"/>
      <c r="Q25" s="2"/>
      <c r="S25" s="2"/>
      <c r="U25" s="2"/>
      <c r="W25" s="2"/>
    </row>
    <row r="26" spans="1:44">
      <c r="A26" s="2"/>
      <c r="C26" s="2"/>
      <c r="E26" s="2"/>
      <c r="G26" s="2"/>
      <c r="I26" s="2"/>
      <c r="K26" s="2"/>
      <c r="M26" s="2"/>
      <c r="O26" s="2"/>
      <c r="Q26" s="2"/>
      <c r="S26" s="2"/>
      <c r="U26" s="2"/>
      <c r="W26" s="2"/>
    </row>
    <row r="27" spans="1:44">
      <c r="A27" s="2"/>
      <c r="C27" s="2"/>
      <c r="E27" s="2"/>
      <c r="G27" s="2"/>
      <c r="I27" s="2"/>
      <c r="K27" s="2"/>
      <c r="M27" s="2"/>
      <c r="O27" s="2"/>
      <c r="Q27" s="2"/>
      <c r="S27" s="2"/>
      <c r="U27" s="2"/>
      <c r="W27" s="2"/>
    </row>
    <row r="28" spans="1:44">
      <c r="A28" s="2"/>
      <c r="C28" s="2"/>
      <c r="E28" s="2"/>
      <c r="G28" s="2"/>
      <c r="I28" s="2"/>
      <c r="K28" s="2"/>
      <c r="M28" s="2"/>
      <c r="O28" s="2"/>
      <c r="Q28" s="2"/>
      <c r="S28" s="2"/>
      <c r="U28" s="2"/>
      <c r="W28" s="2"/>
    </row>
    <row r="29" spans="1:44">
      <c r="A29" s="2"/>
      <c r="C29" s="2"/>
      <c r="E29" s="2"/>
      <c r="G29" s="2"/>
      <c r="I29" s="2"/>
      <c r="K29" s="2"/>
      <c r="M29" s="2"/>
      <c r="O29" s="2"/>
      <c r="Q29" s="2"/>
      <c r="S29" s="2"/>
      <c r="U29" s="2"/>
      <c r="W29" s="2"/>
    </row>
    <row r="30" spans="1:44">
      <c r="A30" s="2"/>
      <c r="C30" s="2"/>
      <c r="E30" s="2"/>
      <c r="G30" s="2"/>
      <c r="I30" s="2"/>
      <c r="K30" s="2"/>
      <c r="M30" s="2"/>
      <c r="O30" s="2"/>
      <c r="Q30" s="2"/>
      <c r="S30" s="2"/>
      <c r="U30" s="2"/>
      <c r="W30" s="2"/>
    </row>
    <row r="31" spans="1:44">
      <c r="A31" s="2"/>
      <c r="C31" s="2"/>
      <c r="E31" s="2"/>
      <c r="G31" s="2"/>
      <c r="I31" s="2"/>
      <c r="K31" s="2"/>
      <c r="M31" s="2"/>
      <c r="O31" s="2"/>
      <c r="Q31" s="2"/>
      <c r="S31" s="2"/>
      <c r="U31" s="2"/>
      <c r="W31" s="2"/>
    </row>
    <row r="32" spans="1:44">
      <c r="A32" s="2"/>
      <c r="C32" s="2"/>
      <c r="E32" s="2"/>
      <c r="G32" s="2"/>
      <c r="I32" s="2"/>
      <c r="K32" s="2"/>
      <c r="M32" s="2"/>
      <c r="O32" s="2"/>
      <c r="Q32" s="2"/>
      <c r="S32" s="2"/>
      <c r="U32" s="2"/>
      <c r="W32" s="2"/>
    </row>
    <row r="33" spans="1:23">
      <c r="A33" s="2"/>
      <c r="C33" s="2"/>
      <c r="E33" s="2"/>
      <c r="G33" s="2"/>
      <c r="I33" s="2"/>
      <c r="K33" s="2"/>
      <c r="M33" s="2"/>
      <c r="O33" s="2"/>
      <c r="Q33" s="2"/>
      <c r="S33" s="2"/>
      <c r="U33" s="2"/>
      <c r="W33" s="2"/>
    </row>
    <row r="34" spans="1:23">
      <c r="A34" s="2"/>
      <c r="C34" s="2"/>
      <c r="E34" s="2"/>
      <c r="G34" s="2"/>
      <c r="I34" s="2"/>
      <c r="K34" s="2"/>
      <c r="M34" s="2"/>
      <c r="O34" s="2"/>
      <c r="Q34" s="2"/>
      <c r="S34" s="2"/>
      <c r="U34" s="2"/>
      <c r="W3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1"/>
  <sheetViews>
    <sheetView workbookViewId="0">
      <selection activeCell="A2" sqref="A2"/>
    </sheetView>
  </sheetViews>
  <sheetFormatPr baseColWidth="10" defaultColWidth="0" defaultRowHeight="13"/>
  <cols>
    <col min="1" max="1" width="22.5" style="28" customWidth="1"/>
    <col min="2" max="2" width="21.1640625" style="28" customWidth="1"/>
    <col min="3" max="3" width="18.33203125" style="28" customWidth="1"/>
    <col min="4" max="16384" width="9.1640625" hidden="1"/>
  </cols>
  <sheetData>
    <row r="1" spans="1:3" ht="24.75" customHeight="1">
      <c r="A1" s="26" t="str">
        <f>"Slot number &lt;1, "&amp;parameters!F10*parameters!F8&amp;"&gt;"</f>
        <v>Slot number &lt;1, 120&gt;</v>
      </c>
      <c r="B1" s="27" t="str">
        <f>"Storage level &lt;1, "&amp;parameters!F12&amp;"&gt;"</f>
        <v>Storage level &lt;1, 1&gt;</v>
      </c>
      <c r="C1" s="27" t="s">
        <v>127</v>
      </c>
    </row>
  </sheetData>
  <sheetProtection password="F91E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5"/>
  <dimension ref="A1:B79"/>
  <sheetViews>
    <sheetView topLeftCell="A10" workbookViewId="0">
      <selection activeCell="A80" sqref="A80"/>
    </sheetView>
  </sheetViews>
  <sheetFormatPr baseColWidth="10" defaultColWidth="8.83203125" defaultRowHeight="13"/>
  <cols>
    <col min="1" max="1" width="9.6640625" bestFit="1" customWidth="1"/>
    <col min="2" max="2" width="10.1640625" bestFit="1" customWidth="1"/>
  </cols>
  <sheetData>
    <row r="1" spans="1:2" s="2" customFormat="1">
      <c r="A1" s="15" t="s">
        <v>8</v>
      </c>
    </row>
    <row r="2" spans="1:2" s="2" customFormat="1"/>
    <row r="3" spans="1:2" s="2" customFormat="1"/>
    <row r="4" spans="1:2" s="2" customFormat="1"/>
    <row r="5" spans="1:2">
      <c r="A5" s="1" t="s">
        <v>4</v>
      </c>
      <c r="B5" s="14">
        <v>40912</v>
      </c>
    </row>
    <row r="6" spans="1:2">
      <c r="A6" s="1" t="s">
        <v>1</v>
      </c>
    </row>
    <row r="7" spans="1:2">
      <c r="A7" s="1" t="s">
        <v>2</v>
      </c>
    </row>
    <row r="8" spans="1:2">
      <c r="A8" s="1" t="s">
        <v>3</v>
      </c>
    </row>
    <row r="10" spans="1:2">
      <c r="A10" s="1" t="s">
        <v>5</v>
      </c>
      <c r="B10" s="14">
        <v>40912</v>
      </c>
    </row>
    <row r="11" spans="1:2">
      <c r="A11" s="1" t="s">
        <v>6</v>
      </c>
    </row>
    <row r="13" spans="1:2">
      <c r="A13" s="1" t="s">
        <v>0</v>
      </c>
      <c r="B13" s="14">
        <v>40915</v>
      </c>
    </row>
    <row r="14" spans="1:2">
      <c r="A14" s="1" t="s">
        <v>7</v>
      </c>
    </row>
    <row r="15" spans="1:2">
      <c r="A15" s="1" t="s">
        <v>10</v>
      </c>
    </row>
    <row r="16" spans="1:2">
      <c r="A16" s="1" t="s">
        <v>9</v>
      </c>
    </row>
    <row r="18" spans="1:2">
      <c r="A18" s="1" t="s">
        <v>11</v>
      </c>
      <c r="B18" s="14">
        <v>40916</v>
      </c>
    </row>
    <row r="19" spans="1:2">
      <c r="A19" s="1" t="s">
        <v>12</v>
      </c>
    </row>
    <row r="21" spans="1:2">
      <c r="A21" s="1" t="s">
        <v>13</v>
      </c>
      <c r="B21" s="14">
        <v>40916</v>
      </c>
    </row>
    <row r="22" spans="1:2">
      <c r="A22" s="1" t="s">
        <v>14</v>
      </c>
    </row>
    <row r="24" spans="1:2">
      <c r="A24" s="1" t="s">
        <v>15</v>
      </c>
      <c r="B24" s="14">
        <v>40928</v>
      </c>
    </row>
    <row r="25" spans="1:2">
      <c r="A25" s="1" t="s">
        <v>16</v>
      </c>
    </row>
    <row r="26" spans="1:2">
      <c r="A26" s="1" t="s">
        <v>17</v>
      </c>
    </row>
    <row r="28" spans="1:2">
      <c r="A28" s="1" t="s">
        <v>18</v>
      </c>
      <c r="B28" s="14">
        <v>40931</v>
      </c>
    </row>
    <row r="29" spans="1:2">
      <c r="A29" s="1" t="s">
        <v>19</v>
      </c>
    </row>
    <row r="31" spans="1:2">
      <c r="A31" s="1" t="s">
        <v>20</v>
      </c>
      <c r="B31" s="14">
        <v>40945</v>
      </c>
    </row>
    <row r="32" spans="1:2">
      <c r="A32" s="1" t="s">
        <v>21</v>
      </c>
    </row>
    <row r="34" spans="1:2">
      <c r="A34" s="1" t="s">
        <v>22</v>
      </c>
      <c r="B34" s="14">
        <v>40949</v>
      </c>
    </row>
    <row r="35" spans="1:2">
      <c r="A35" s="1" t="s">
        <v>23</v>
      </c>
      <c r="B35" s="2"/>
    </row>
    <row r="37" spans="1:2">
      <c r="A37" s="1" t="s">
        <v>24</v>
      </c>
      <c r="B37" s="14">
        <v>40973</v>
      </c>
    </row>
    <row r="38" spans="1:2">
      <c r="A38" s="1" t="s">
        <v>25</v>
      </c>
    </row>
    <row r="40" spans="1:2">
      <c r="A40" s="1" t="s">
        <v>26</v>
      </c>
      <c r="B40" s="14">
        <v>41036</v>
      </c>
    </row>
    <row r="41" spans="1:2">
      <c r="A41" s="1" t="s">
        <v>27</v>
      </c>
    </row>
    <row r="42" spans="1:2">
      <c r="A42" s="1" t="s">
        <v>28</v>
      </c>
    </row>
    <row r="44" spans="1:2">
      <c r="A44" s="1" t="s">
        <v>29</v>
      </c>
      <c r="B44" s="14">
        <v>41037</v>
      </c>
    </row>
    <row r="45" spans="1:2">
      <c r="A45" s="1" t="s">
        <v>30</v>
      </c>
    </row>
    <row r="47" spans="1:2">
      <c r="A47" s="1" t="s">
        <v>31</v>
      </c>
      <c r="B47" s="14">
        <v>41077</v>
      </c>
    </row>
    <row r="48" spans="1:2">
      <c r="A48" s="1" t="s">
        <v>32</v>
      </c>
    </row>
    <row r="50" spans="1:2">
      <c r="A50" s="1" t="s">
        <v>33</v>
      </c>
      <c r="B50" s="14">
        <v>41081</v>
      </c>
    </row>
    <row r="51" spans="1:2">
      <c r="A51" s="1" t="s">
        <v>34</v>
      </c>
      <c r="B51" s="2"/>
    </row>
    <row r="53" spans="1:2">
      <c r="A53" s="1" t="s">
        <v>35</v>
      </c>
      <c r="B53" s="14">
        <v>41259</v>
      </c>
    </row>
    <row r="54" spans="1:2">
      <c r="A54" s="1" t="s">
        <v>36</v>
      </c>
    </row>
    <row r="55" spans="1:2">
      <c r="A55" s="1" t="s">
        <v>37</v>
      </c>
    </row>
    <row r="56" spans="1:2">
      <c r="A56" s="1" t="s">
        <v>38</v>
      </c>
    </row>
    <row r="58" spans="1:2">
      <c r="A58" s="1" t="s">
        <v>39</v>
      </c>
      <c r="B58" s="14">
        <v>41271</v>
      </c>
    </row>
    <row r="59" spans="1:2">
      <c r="A59" s="1" t="s">
        <v>40</v>
      </c>
    </row>
    <row r="61" spans="1:2">
      <c r="A61" s="1" t="s">
        <v>42</v>
      </c>
      <c r="B61" s="14">
        <v>41298</v>
      </c>
    </row>
    <row r="62" spans="1:2">
      <c r="A62" s="1" t="s">
        <v>41</v>
      </c>
    </row>
    <row r="64" spans="1:2">
      <c r="A64" s="1" t="s">
        <v>113</v>
      </c>
      <c r="B64" s="14">
        <v>41369</v>
      </c>
    </row>
    <row r="65" spans="1:2">
      <c r="A65" s="1" t="s">
        <v>108</v>
      </c>
    </row>
    <row r="66" spans="1:2">
      <c r="A66" s="1" t="s">
        <v>109</v>
      </c>
    </row>
    <row r="67" spans="1:2">
      <c r="A67" s="1" t="s">
        <v>110</v>
      </c>
    </row>
    <row r="68" spans="1:2">
      <c r="A68" s="1" t="s">
        <v>111</v>
      </c>
    </row>
    <row r="69" spans="1:2">
      <c r="A69" s="1" t="s">
        <v>112</v>
      </c>
    </row>
    <row r="71" spans="1:2">
      <c r="A71" s="1" t="s">
        <v>114</v>
      </c>
      <c r="B71" s="14">
        <v>41372</v>
      </c>
    </row>
    <row r="72" spans="1:2">
      <c r="A72" s="1" t="s">
        <v>115</v>
      </c>
    </row>
    <row r="73" spans="1:2">
      <c r="A73" s="1" t="s">
        <v>116</v>
      </c>
    </row>
    <row r="75" spans="1:2">
      <c r="A75" s="1" t="s">
        <v>117</v>
      </c>
      <c r="B75" s="14">
        <v>41380</v>
      </c>
    </row>
    <row r="76" spans="1:2">
      <c r="A76" s="1" t="s">
        <v>118</v>
      </c>
    </row>
    <row r="78" spans="1:2">
      <c r="A78" s="1" t="s">
        <v>128</v>
      </c>
      <c r="B78" s="14">
        <v>41397</v>
      </c>
    </row>
    <row r="79" spans="1:2">
      <c r="A79" s="1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parameters</vt:lpstr>
      <vt:lpstr>warehouse</vt:lpstr>
      <vt:lpstr>report - forklifts</vt:lpstr>
      <vt:lpstr>report - orders</vt:lpstr>
      <vt:lpstr>dataset</vt:lpstr>
      <vt:lpstr>modifications</vt:lpstr>
      <vt:lpstr>history</vt:lpstr>
    </vt:vector>
  </TitlesOfParts>
  <Company>KBO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Tarczyński</dc:creator>
  <cp:lastModifiedBy>Célia Natália Lemos Figueiredo</cp:lastModifiedBy>
  <dcterms:created xsi:type="dcterms:W3CDTF">2011-12-21T10:02:02Z</dcterms:created>
  <dcterms:modified xsi:type="dcterms:W3CDTF">2018-11-27T14:28:50Z</dcterms:modified>
</cp:coreProperties>
</file>